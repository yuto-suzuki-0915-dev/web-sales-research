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zuy\web-sales-research\"/>
    </mc:Choice>
  </mc:AlternateContent>
  <xr:revisionPtr revIDLastSave="0" documentId="13_ncr:1_{34FC5A11-B3D0-47BB-91FD-CF27258BC168}" xr6:coauthVersionLast="47" xr6:coauthVersionMax="47" xr10:uidLastSave="{00000000-0000-0000-0000-000000000000}"/>
  <bookViews>
    <workbookView xWindow="-110" yWindow="-110" windowWidth="21820" windowHeight="13900" xr2:uid="{00000000-000D-0000-FFFF-FFFF00000000}"/>
  </bookViews>
  <sheets>
    <sheet name="営業管理" sheetId="1" r:id="rId1"/>
    <sheet name="ダッシュボード" sheetId="2" r:id="rId2"/>
    <sheet name="使い方" sheetId="3" r:id="rId3"/>
    <sheet name="元デー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11" i="2"/>
  <c r="E10" i="2"/>
  <c r="E9" i="2"/>
  <c r="E8" i="2"/>
  <c r="B8" i="2"/>
  <c r="E7" i="2"/>
  <c r="B7" i="2"/>
  <c r="E6" i="2"/>
  <c r="B6" i="2"/>
  <c r="E5" i="2"/>
  <c r="B5" i="2"/>
  <c r="E4" i="2"/>
  <c r="B4" i="2"/>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B9" i="2" l="1"/>
</calcChain>
</file>

<file path=xl/sharedStrings.xml><?xml version="1.0" encoding="utf-8"?>
<sst xmlns="http://schemas.openxmlformats.org/spreadsheetml/2006/main" count="603" uniqueCount="188">
  <si>
    <t>lead_id</t>
  </si>
  <si>
    <t>事業者名</t>
  </si>
  <si>
    <t>優先度</t>
  </si>
  <si>
    <t>送信先確認</t>
  </si>
  <si>
    <t>営業文状態</t>
  </si>
  <si>
    <t>進捗ステータス</t>
  </si>
  <si>
    <t>送信チャネル</t>
  </si>
  <si>
    <t>送信先URL・宛先</t>
  </si>
  <si>
    <t>初回送信日</t>
  </si>
  <si>
    <t>最終接触日</t>
  </si>
  <si>
    <t>フォロー予定日</t>
  </si>
  <si>
    <t>フォロー判定</t>
  </si>
  <si>
    <t>返信概要</t>
  </si>
  <si>
    <t>次アクション</t>
  </si>
  <si>
    <t>メモ</t>
  </si>
  <si>
    <t>営業文</t>
  </si>
  <si>
    <t>one-up-fbce262425</t>
  </si>
  <si>
    <t>ピラティス&amp;コンディショニングスタジオ ONE UP</t>
  </si>
  <si>
    <t>high</t>
  </si>
  <si>
    <t>確認済み</t>
  </si>
  <si>
    <t>reviewed</t>
  </si>
  <si>
    <t>未送信</t>
  </si>
  <si>
    <t>はじめまして、Web制作をしている鈴木と申します。ONE UP様のサイトで、マシンを使ったプライベートレッスンや少人数制のローラーピラティスを提供されていることを拝見しました。現在のスタジオの雰囲気に合わせて、レッスン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</si>
  <si>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pilates-natural-rhythm-2808d6843b</t>
  </si>
  <si>
    <t>Pilates Natural Rhythm</t>
  </si>
  <si>
    <t>はじめまして、Web制作をしている鈴木と申します。Pilates Natural Rhythm様のサイトで、マンツーマンのプライベートセッションを提供されていることを拝見しました。現在のスタジオの雰囲気に合わせて、セッションの内容や流れ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</si>
  <si>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rebloom-beauty-salon-and-pil-501345b67d</t>
  </si>
  <si>
    <t>Rebloom BEAUTY SALON AND PILATES ROOM</t>
  </si>
  <si>
    <t>はじめまして、Web制作をしている鈴木と申します。Rebloom BEAUTY SALON AND PILATES ROOM様のホットペッパービューティー掲載で、フェイシャルエステとマシンピラティスを一つのサロンで提供されていることを拝見しました。現在の予約サービスの掲載を活かしながら、エステとピラティスのメニュー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</si>
  <si>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fav-space-for-conditioning-1bc86890e8</t>
  </si>
  <si>
    <t>Fav space for Conditioning</t>
  </si>
  <si>
    <t>はじめまして、Web制作をしている鈴木と申します。Fav space for Conditioning様のサイトで、パーソナルトレーニングやピラティス、鍼灸・美容鍼、ジュニアアスリート向けトレーニングを拝見しました。現在のジムの雰囲気に合わせて、幅広いメニュー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</si>
  <si>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lead-ec3089528b</t>
  </si>
  <si>
    <t>ビジューピラティス 園田店</t>
  </si>
  <si>
    <t>はじめまして、Web制作をしている鈴木と申します。ビジューピラティス 園田店様のホットペッパービューティー掲載で、女性専用・個室のパーソナルピラティスとして各種マシンを備えていることを拝見しました。現在の予約サービスの掲載を活かしながら、レッスン内容や店舗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</si>
  <si>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pilates-iu-84f0e92705</t>
  </si>
  <si>
    <t>Pilates iU 尼崎塚口店</t>
  </si>
  <si>
    <t>medium</t>
  </si>
  <si>
    <t>はじめまして、Web制作をしている鈴木と申します。Pilates iU様のサイトで、女性限定で姿勢のクセに合わせた完全マンツーマンの個室ピラティスを提供されていることを拝見しました。現在のスタジオ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</si>
  <si>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pilates-kasane-1d8ee0a09e</t>
  </si>
  <si>
    <t>Pilates KASANE 尼崎店</t>
  </si>
  <si>
    <t>はじめまして、Web制作をしている鈴木と申します。Pilates KASANE様のサイトで、4名からの少人数制クラスで背骨から身体を整えるレッスンを提供されていることを拝見しました。現在のスタジオ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</si>
  <si>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lead-1c3790a9aa</t>
  </si>
  <si>
    <t>ピラティスアヴニール 尼崎武庫之荘店</t>
  </si>
  <si>
    <t>はじめまして、Web制作をしている鈴木と申します。ピラティスアヴニール尼崎武庫之荘店様のページで、駅北口から徒歩2分の完全個室スタジオにマシンを備えていることを拝見しました。現在の店舗の雰囲気に合わせて、スタジオ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</si>
  <si>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pilates-synergy-c0df6650c7</t>
  </si>
  <si>
    <t>Pilates Synergy 武庫之荘スタジオ</t>
  </si>
  <si>
    <t>はじめまして、Web制作をしている鈴木と申します。Pilates Synergy武庫之荘スタジオ様の店舗ページで、あらき接骨院内で体験レッスンやパーソナルレッスンを提供されていることを拝見しました。現在のスタジオの雰囲気に合わせて、レッスン内容や店舗情報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</si>
  <si>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synergym-e75064236c</t>
  </si>
  <si>
    <t>SynerGym 塚口本店</t>
  </si>
  <si>
    <t>はじめまして、Web制作をしている鈴木と申します。SynerGym塚口本店様のサイトで、24時間フィットネス会員向けに全5回の無料初心者ガイダンスを行っておられることを拝見しました。現在のジムの雰囲気に合わせて、ガイダンスやサービス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</si>
  <si>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refrelagy-df0c2a3cbd</t>
  </si>
  <si>
    <t>Refrelagy（リフリラジー）</t>
  </si>
  <si>
    <t>はじめまして、Web制作をしている鈴木と申します。Refrelagy様のサイトで、マットピラティスやリストラティブヨガ、遠赤外線ドームサウナのメニューを拝見しました。現在のスタジオの雰囲気に合わせて、メニュー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</si>
  <si>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vital-maison-0c3206d069</t>
  </si>
  <si>
    <t>VITAL MAISON ヴィタルメゾン武庫之荘</t>
  </si>
  <si>
    <t>はじめまして、Web制作をしている鈴木と申します。VITAL MAISON武庫之荘様のサイトで、ダイエットや姿勢改善に向けたパーソナルマシンピラティスを拝見しました。現在のスタジオ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</si>
  <si>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olive-tree-b65e742252</t>
  </si>
  <si>
    <t>パーソナルマシンピラティス オリーブツリー</t>
  </si>
  <si>
    <t>はじめまして、Web制作をしている鈴木と申します。オリーブツリー様のサイトで、JR尼崎駅南から徒歩5分の完全個室でマシンとヤムナのパーソナルレッスンを提供されていることを拝見しました。現在の店舗の雰囲気に合わせて、完全個室のパーソナルレッスン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</si>
  <si>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n-12f1953553</t>
  </si>
  <si>
    <t>Nピラティス 尼崎店</t>
  </si>
  <si>
    <t>はじめまして、Web制作をしている鈴木と申します。Nピラティス尼崎店様のサイトで、800種類以上のエクササイズから症状に合わせたマシンピラティスを行っていることを拝見しました。現在の店舗の雰囲気に合わせて、レッスン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</si>
  <si>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rinn-yoga-pilates-studio-235cefb016</t>
  </si>
  <si>
    <t>Rinn〜りん〜（少人数制ヨガ・マットピラティス教室）</t>
  </si>
  <si>
    <t>はじめまして、Web制作をしている鈴木と申します。Rinn様のサイトで、6名定員の少人数制で土曜の朝にマットピラティスとヨガのレッスンを開講されていることを拝見しました。現在の店舗の雰囲気に合わせて、少人数制のレッスンの魅力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</si>
  <si>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lead-5d707ba18b</t>
  </si>
  <si>
    <t>かおりバレエ整体ピラティス&amp;鍼灸</t>
  </si>
  <si>
    <t>未確認</t>
  </si>
  <si>
    <t>はじめまして、Web制作をしている鈴木と申します。かおりバレエ整体ピラティス&amp;鍼灸様のフィットパレット掲載ページで、ピラティスと整体、鍼灸を一つの場所で提供されていることを拝見しました。現在の掲載情報を活かしながら、各メニューや店舗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</si>
  <si>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aizac-amagasaki-7617adb2d3</t>
  </si>
  <si>
    <t>あらき接骨院 Aizac amagasaki</t>
  </si>
  <si>
    <t>はじめまして、Web制作をしている鈴木と申します。あらき接骨院様のピラティスのページで、一人ひとりの状態に合わせたパーソナルレッスンを運動療法として紹介されているのを拝見しました。現在の院の雰囲気に合わせて、パーソナルピラティス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</si>
  <si>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lead-6c726bad7c</t>
  </si>
  <si>
    <t>チサト ピラティス ビューティ スタジオ</t>
  </si>
  <si>
    <t>はじめまして、Web制作をしている鈴木と申します。チサト ピラティス ビューティ スタジオ様のサイトで、ロンフレッチャーピラティスやマシンピラティス、ヤムナのレッスンを拝見しました。現在のスタジオの雰囲気に合わせて、レッスンメニュー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</si>
  <si>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yoga-risa-studio-4ba017be86</t>
  </si>
  <si>
    <t>YOGA RISA-STUDIO</t>
  </si>
  <si>
    <t>blocked_personalization</t>
  </si>
  <si>
    <t>営業文未生成</t>
  </si>
  <si>
    <t>silva-afd2824b8c</t>
  </si>
  <si>
    <t>SILVA パーソナルピラティスサロン</t>
  </si>
  <si>
    <t>はじめまして、Web制作をしている鈴木と申します。SILVA パーソナルピラティスサロン様のホットペッパービューティー掲載で、完全個室のマンツーマンマシンピラティスを提供されていることを拝見しました。現在の予約サービスを活かしながら、レッスン内容や店舗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</si>
  <si>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viva-fb029165d0</t>
  </si>
  <si>
    <t>vivaピラティス</t>
  </si>
  <si>
    <t>はじめまして、Web制作をしている鈴木と申します。尼崎市の店舗掲載ページで、vivaピラティス様が南塚口町で毎週木曜に女性限定の少人数レッスンを開講されているのを拝見しました。現在の掲載情報を活かしながら、レッスン内容や開催情報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</si>
  <si>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seed-training-981ad76df4</t>
  </si>
  <si>
    <t>Seed Training</t>
  </si>
  <si>
    <t>はじめまして、Web制作をしている鈴木と申します。ピラティスマップの尼崎の掲載で、Seed Training様が60分と90分のマンツーマンレッスンを完全予約制で提供されているのを拝見しました。現在の店舗の雰囲気に合わせて、プライベートレッスン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</si>
  <si>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sante-bcddd1a0de</t>
  </si>
  <si>
    <t>ヨガ＆ピラティス SANTE</t>
  </si>
  <si>
    <t>はじめまして、Web制作をしている鈴木と申します。ヨガ＆ピラティス SANTE様のCoubic予約ページで、ヨガとマットピラティスの教室を運営されていることを拝見しました。現在の予約サービスを活かしながら、レッスン内容や教室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</si>
  <si>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lead-40f27dab32</t>
  </si>
  <si>
    <t>プリッツジム＆ピラティス 塚口店</t>
  </si>
  <si>
    <t>はじめまして、Web制作をしている鈴木と申します。プリッツジム＆ピラティス塚口店様のサイトで、女性専用で最大3名のセミパーソナルとマシンピラティスを行われていることを拝見しました。現在の店舗の雰囲気に合わせて、塚口店のレッスン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</si>
  <si>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halu-8d8dd0686d</t>
  </si>
  <si>
    <t>HALU鍼灸整骨院 尼崎院</t>
  </si>
  <si>
    <t>はじめまして、Web制作をしている鈴木と申します。HALU鍼灸整骨院尼崎院様のサイトで、産後骨盤コースとして産後矯正にピラティス整体を組み合わせた施術を拝見しました。現在の院の雰囲気に合わせて、産後骨盤コース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</si>
  <si>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vert-pilates-fb66ec2518</t>
  </si>
  <si>
    <t>山本紗内恵バレエスクール 尼崎教室(vert pilatesクラス)</t>
  </si>
  <si>
    <t>はじめまして、Web制作をしている鈴木と申します。教室情報サイトの掲載で、山本紗内恵バレエスクール 尼崎教室様がヴェール尼崎城5階で2歳から大人までを対象としたバレエ教室を開講されているのを拝見しました。現在の教室の雰囲気に合わせて、クラスの内容がより伝わりやすい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</si>
  <si>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urban-classic-pilates-2ec4f832e1</t>
  </si>
  <si>
    <t>URBAN CLASSIC PILATES 武庫之荘店</t>
  </si>
  <si>
    <t>low</t>
  </si>
  <si>
    <t>はじめまして、Web制作をしている鈴木と申します。URBAN CLASSIC PILATES 武庫之荘店様のページで、サーキット形式の30分レッスンを取り入れておられることを拝見しました。現在の店舗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</si>
  <si>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rive-pilates-jr-61e134f2ff</t>
  </si>
  <si>
    <t>Rive Pilates 阪急塚口店</t>
  </si>
  <si>
    <t>はじめまして、Web制作をしている鈴木と申します。Rive Pilates 阪急塚口店様のサイトで、5人制のセミパーソナルグループレッスンを行っておられることを拝見しました。現在の店舗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</si>
  <si>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pilates-studio-limone-93aefe28dd</t>
  </si>
  <si>
    <t>Pilates Studio Limone 塚口店</t>
  </si>
  <si>
    <t>はじめまして、Web制作をしている鈴木と申します。Pilates Studio Limone 塚口店様のサイトで、マシンピラティスのパーソナルと最大5名のマットグループレッスンを行っておられることを拝見しました。現在の店舗の雰囲気に合わせて、レッスン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</si>
  <si>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zen-place-pilates-07a7723dda</t>
  </si>
  <si>
    <t>zen place pilates 塚口</t>
  </si>
  <si>
    <t>はじめまして、Web制作をしている鈴木と申します。zen place pilates 塚口様のサイトで、マット、マシン、プライベートの3種類のレッスンを提供しておられることを拝見しました。現在の店舗の雰囲気に合わせて、レッスンの選び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</si>
  <si>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studio-ivy-cee38b0589</t>
  </si>
  <si>
    <t>STUDIO IVY 阪神尼崎店</t>
  </si>
  <si>
    <t>はじめまして、Web制作をしている鈴木と申します。STUDIO IVY 阪神尼崎店様のページで、完全プライベート形式のマンツーマンのマシンピラティスを提供しておられることを拝見しました。現在の店舗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</si>
  <si>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rintosull-ed60f4dd9a</t>
  </si>
  <si>
    <t>Rintosull 阪神尼崎店</t>
  </si>
  <si>
    <t>はじめまして、Web制作をしている鈴木と申します。Rintosull 阪神尼崎店様のページで、女性専用スタジオとして20種類以上のプログラムを用意しておられることを拝見しました。現在の店舗の雰囲気に合わせて、プログラムの内容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</si>
  <si>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pilates-mirror-cc219830d3</t>
  </si>
  <si>
    <t>Pilates Mirror 立花</t>
  </si>
  <si>
    <t>はじめまして、Web制作をしている鈴木と申します。Pilates Mirror 立花様のページで、天井の鏡で身体の動きを確認しながら行う30分の少人数レッスンを拝見しました。現在の店舗の雰囲気に合わせて、レッスン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</si>
  <si>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fitplace-9fba534261</t>
  </si>
  <si>
    <t>FITPLACE ピラティス 阪神尼崎店</t>
  </si>
  <si>
    <t>はじめまして、Web制作をしている鈴木と申します。FITPLACE 阪神尼崎店様のページで、トレーナーがマンツーマンでトレーニングと食事指導を行っておられることを拝見しました。現在の店舗の雰囲気に合わせて、サービスの特徴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</si>
  <si>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gunze-sports-tsukashin-afff2cde2a</t>
  </si>
  <si>
    <t>グンゼスポーツ 塚口（Gunze Sports Tsukashin）</t>
  </si>
  <si>
    <t>はじめまして、Web制作をしている鈴木と申します。グンゼスポーツ 塚口様のサイトで、女性専用マシンピラティス「icca」を含む多様なレッスンを提供しておられることを拝見しました。現在の施設の雰囲気に合わせて、レッスンの情報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</si>
  <si>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icca-bd8d1647a3</t>
  </si>
  <si>
    <t>icca（イッカ）</t>
  </si>
  <si>
    <t>はじめまして、Web制作をしている鈴木と申します。icca（イッカ）様のフィットパレット掲載ページで、少人数制で丁寧な指導のマシンピラティスを提供されていることを拝見しました。現在の掲載情報を活かしながら、レッスン内容や店舗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</si>
  <si>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lead-6b9918c84d</t>
  </si>
  <si>
    <t>貴宝石岩盤浴ホットヨガ&amp;エステ ぷりずむ</t>
  </si>
  <si>
    <t>はじめまして、Web制作をしている鈴木と申します。貴宝石岩盤浴ホットヨガ&amp;エステ ぷりずむ様のホットペッパービューティー掲載で、岩盤浴ホットヨガとエステを提供されていることを拝見しました。現在の予約サービスを活かしながら、各メニューや店舗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</si>
  <si>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zen-yoga-japan-362850faa5</t>
  </si>
  <si>
    <t>Zen Yoga Japan</t>
  </si>
  <si>
    <t>はじめまして、Web制作をしている鈴木と申します。cani.jpの掲載で、JR尼崎駅徒歩4分のスタジオとして、ヨガとピラティスの両方のクラスに参加できると紹介されていることを拝見しました。現在の掲載情報を活かしながら、レッスン内容や店舗情報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</si>
  <si>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lead-ca551639dc</t>
  </si>
  <si>
    <t>尼崎立花接骨院</t>
  </si>
  <si>
    <t>はじめまして、Web制作をしている鈴木と申します。尼崎立花接骨院様のエキテン掲載で、整骨・カイロプラクティックに加えてファンクショナルローラーピラティスのグループレッスンを提供されていることを拝見しました。現在の掲載情報を活かしながら、施術内容やレッスン情報をまとめた公式サイトの制作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</si>
  <si>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la-pilates-a25296d9c4</t>
  </si>
  <si>
    <t>La pilates 猪名寺店</t>
  </si>
  <si>
    <t>jr-0f2cbfa1a7</t>
  </si>
  <si>
    <t>スタジオ ヨガピス JR塚口</t>
  </si>
  <si>
    <t>はじめまして、Web制作をしている鈴木と申します。スタジオ ヨガピス JR塚口様の公式サイトで、ビエラ塚口3Fの女性専用ホットスタジオとしてヨガとピラティスのレッスンを提供されていることを拝見しました。現在の店舗の雰囲気に合わせて、レッスン内容や設備がより伝わる形にWebサイトを整えることも可能です。デザインから実装、公開まで対応しています。
【サービスサイト・予約機能の制作例】
https://yuto-suzuki-0915-dev-lp-renai.vercel.app
【デザイン・LP制作例】
https://lp-dryer.vercel.app/
よろしければ、まず制作例だけでもご覧いただけますと幸いです。</t>
  </si>
  <si>
    <t>Web制作 営業管理ダッシュボード</t>
  </si>
  <si>
    <t>KPI</t>
  </si>
  <si>
    <t>件数</t>
  </si>
  <si>
    <t>進捗</t>
  </si>
  <si>
    <t>登録リード</t>
  </si>
  <si>
    <t>High優先度</t>
  </si>
  <si>
    <t>送信済み</t>
  </si>
  <si>
    <t>返信あり</t>
  </si>
  <si>
    <t>商談中</t>
  </si>
  <si>
    <t>見積提出</t>
  </si>
  <si>
    <t>要フォロー</t>
  </si>
  <si>
    <t>受注</t>
  </si>
  <si>
    <t>見送り</t>
  </si>
  <si>
    <t>送信不可</t>
  </si>
  <si>
    <t>営業管理台帳の使い方</t>
  </si>
  <si>
    <t>手順</t>
  </si>
  <si>
    <t>やること</t>
  </si>
  <si>
    <t>意味</t>
  </si>
  <si>
    <t>1</t>
  </si>
  <si>
    <t>営業管理シートを「優先度=high」「進捗ステータス=未送信」で絞る</t>
  </si>
  <si>
    <t>まだ連絡していない</t>
  </si>
  <si>
    <t>2</t>
  </si>
  <si>
    <t>実際にDM・メール・フォームを送ったら、進捗ステータスを「送信済み」に変更</t>
  </si>
  <si>
    <t>初回メッセージ送信済み・返信待ち</t>
  </si>
  <si>
    <t>3</t>
  </si>
  <si>
    <t>送信チャネル、初回送信日、送信先URL・宛先を記録</t>
  </si>
  <si>
    <t>相手から何らかの返信あり</t>
  </si>
  <si>
    <t>4</t>
  </si>
  <si>
    <t>返信が来たら「返信あり」に変更し、返信概要と次アクションを記録</t>
  </si>
  <si>
    <t>商談中 / 見積提出</t>
  </si>
  <si>
    <t>具体的な相談フェーズ</t>
  </si>
  <si>
    <t>5</t>
  </si>
  <si>
    <t>追客する場合はフォロー予定日を入力。期日になると「要フォロー」と表示</t>
  </si>
  <si>
    <t>受注 / 見送り</t>
  </si>
  <si>
    <t>営業結果が確定</t>
  </si>
  <si>
    <t>6</t>
  </si>
  <si>
    <t>商談・見積・受注・見送りまで同じ行で更新して追跡</t>
  </si>
  <si>
    <t>7</t>
  </si>
  <si>
    <t>ダッシュボードで未送信・返信・フォロー件数を確認</t>
  </si>
  <si>
    <t>元の送信先確認</t>
  </si>
  <si>
    <t>元の営業文状態</t>
  </si>
  <si>
    <t>lead_id</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</si>
</sst>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1"/>
      <name val="Carlito"/>
    </font>
    <font>
      <b/>
      <sz val="11"/>
      <color rgb="FFFFFFFF"/>
      <name val="Carlito"/>
    </font>
    <font>
      <b/>
      <sz val="16"/>
      <color rgb="FFFFFFFF"/>
      <name val="Carlito"/>
    </font>
    <font>
      <b/>
      <sz val="11"/>
      <name val="Carlito"/>
    </font>
    <font>
      <b/>
      <sz val="15"/>
      <color rgb="FFFFFFFF"/>
      <name val="Carlito"/>
    </font>
    <font>
      <sz val="11"/>
      <name val="Carlito"/>
    </font>
    <font>
      <b/>
      <sz val="11"/>
      <color rgb="FFFFFFFF"/>
      <name val="Noto Sans JP"/>
      <family val="3"/>
      <charset val="128"/>
    </font>
    <font>
      <sz val="11"/>
      <name val="Noto Sans JP"/>
      <family val="3"/>
      <charset val="128"/>
    </font>
    <font>
      <sz val="6"/>
      <name val="ＭＳ Ｐゴシック"/>
      <family val="3"/>
      <charset val="128"/>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6573"/>
      </patternFill>
    </fill>
  </fills>
  <borders count="1">
    <border>
      <left/>
      <right/>
      <top/>
      <bottom/>
      <diagonal/>
    </border>
  </borders>
  <cellStyleXfs count="2">
    <xf numFmtId="0" fontId="0" fillId="0" borderId="0"/>
    <xf numFmtId="0" fontId="5" fillId="0" borderId="0"/>
  </cellStyleXfs>
  <cellXfs count="13">
    <xf numFmtId="0" fontId="0" fillId="0" borderId="0" xfId="0"/>
    <xf numFmtId="0" fontId="0" fillId="0" borderId="0" xfId="1" applyFont="1" applyAlignment="1">
      <alignment vertical="top" wrapText="1"/>
    </xf>
    <xf numFmtId="0" fontId="3" fillId="3" borderId="0" xfId="1" applyFont="1" applyFill="1" applyAlignment="1">
      <alignment horizontal="center"/>
    </xf>
    <xf numFmtId="0" fontId="3" fillId="3" borderId="0" xfId="1" applyFont="1" applyFill="1" applyAlignment="1">
      <alignment wrapText="1"/>
    </xf>
    <xf numFmtId="0" fontId="0" fillId="0" borderId="0" xfId="1" applyFont="1" applyAlignment="1">
      <alignment wrapText="1"/>
    </xf>
    <xf numFmtId="0" fontId="3" fillId="3" borderId="0" xfId="1" applyFont="1" applyFill="1" applyAlignment="1">
      <alignment vertical="top" wrapText="1"/>
    </xf>
    <xf numFmtId="0" fontId="1" fillId="4" borderId="0" xfId="1" applyFont="1" applyFill="1" applyAlignment="1">
      <alignment wrapText="1"/>
    </xf>
    <xf numFmtId="0" fontId="2" fillId="2" borderId="0" xfId="1" applyFont="1" applyFill="1" applyAlignment="1">
      <alignment horizontal="center" vertical="center"/>
    </xf>
    <xf numFmtId="0" fontId="4" fillId="2" borderId="0" xfId="1" applyFont="1" applyFill="1" applyAlignment="1">
      <alignment horizontal="center"/>
    </xf>
    <xf numFmtId="0" fontId="6" fillId="2" borderId="0" xfId="1" applyFont="1" applyFill="1" applyAlignment="1">
      <alignment horizontal="center" vertical="center"/>
    </xf>
    <xf numFmtId="0" fontId="7" fillId="0" borderId="0" xfId="0" applyFont="1"/>
    <xf numFmtId="0" fontId="7" fillId="0" borderId="0" xfId="1" applyFont="1" applyAlignment="1">
      <alignment vertical="top" wrapText="1"/>
    </xf>
    <xf numFmtId="176" fontId="7" fillId="0" borderId="0" xfId="1" applyNumberFormat="1" applyFont="1" applyAlignment="1">
      <alignment vertical="top" wrapText="1"/>
    </xf>
  </cellXfs>
  <cellStyles count="2">
    <cellStyle name="Normal" xfId="1" xr:uid="{00000000-0005-0000-0000-000000000000}"/>
    <cellStyle name="標準" xfId="0" builtinId="0"/>
  </cellStyles>
  <dxfs count="24">
    <dxf>
      <font>
        <b/>
        <color rgb="FF92400E"/>
      </font>
      <fill>
        <patternFill patternType="solid">
          <bgColor rgb="FFFEF3C7"/>
        </patternFill>
      </fill>
    </dxf>
    <dxf>
      <font>
        <color rgb="FF991B1B"/>
      </font>
      <fill>
        <patternFill patternType="solid">
          <bgColor rgb="FFFEE2E2"/>
        </patternFill>
      </fill>
    </dxf>
    <dxf>
      <font>
        <b/>
      </font>
      <fill>
        <patternFill patternType="solid">
          <bgColor rgb="FFE0F2FE"/>
        </patternFill>
      </fill>
    </dxf>
    <dxf>
      <font>
        <b/>
        <color rgb="FF166534"/>
      </font>
      <fill>
        <patternFill patternType="solid">
          <bgColor rgb="FFDCFCE7"/>
        </patternFill>
      </fill>
    </dxf>
    <dxf>
      <fill>
        <patternFill patternType="solid">
          <bgColor rgb="FFFFF4CC"/>
        </patternFill>
      </fill>
    </dxf>
    <dxf>
      <font>
        <b/>
        <color rgb="FFB42318"/>
      </font>
      <fill>
        <patternFill patternType="solid">
          <bgColor rgb="FFFCE8E6"/>
        </patternFill>
      </fill>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t>営業進捗</a:t>
            </a:r>
          </a:p>
        </c:rich>
      </c:tx>
      <c:overlay val="1"/>
    </c:title>
    <c:autoTitleDeleted val="0"/>
    <c:plotArea>
      <c:layout/>
      <c:barChart>
        <c:barDir val="col"/>
        <c:grouping val="clustered"/>
        <c:varyColors val="0"/>
        <c:ser>
          <c:idx val="0"/>
          <c:order val="0"/>
          <c:tx>
            <c:v>件数</c:v>
          </c:tx>
          <c:invertIfNegative val="1"/>
          <c:cat>
            <c:strRef>
              <c:f>ダッシュボード!$D$4:$D$11</c:f>
              <c:strCache>
                <c:ptCount val="8"/>
                <c:pt idx="0">
                  <c:v>未送信</c:v>
                </c:pt>
                <c:pt idx="1">
                  <c:v>送信済み</c:v>
                </c:pt>
                <c:pt idx="2">
                  <c:v>返信あり</c:v>
                </c:pt>
                <c:pt idx="3">
                  <c:v>商談中</c:v>
                </c:pt>
                <c:pt idx="4">
                  <c:v>見積提出</c:v>
                </c:pt>
                <c:pt idx="5">
                  <c:v>受注</c:v>
                </c:pt>
                <c:pt idx="6">
                  <c:v>見送り</c:v>
                </c:pt>
                <c:pt idx="7">
                  <c:v>送信不可</c:v>
                </c:pt>
              </c:strCache>
            </c:strRef>
          </c:cat>
          <c:val>
            <c:numRef>
              <c:f>ダッシュボード!$E$4:$E$11</c:f>
              <c:numCache>
                <c:formatCode>General</c:formatCode>
                <c:ptCount val="8"/>
                <c:pt idx="0">
                  <c:v>0</c:v>
                </c:pt>
                <c:pt idx="1">
                  <c:v>25</c:v>
                </c:pt>
                <c:pt idx="2">
                  <c:v>0</c:v>
                </c:pt>
                <c:pt idx="3">
                  <c:v>0</c:v>
                </c:pt>
                <c:pt idx="4">
                  <c:v>0</c:v>
                </c:pt>
                <c:pt idx="5">
                  <c:v>0</c:v>
                </c:pt>
                <c:pt idx="6">
                  <c:v>0</c:v>
                </c:pt>
                <c:pt idx="7">
                  <c:v>16</c:v>
                </c:pt>
              </c:numCache>
            </c:numRef>
          </c:val>
          <c:extLst>
            <c:ext xmlns:c16="http://schemas.microsoft.com/office/drawing/2014/chart" uri="{C3380CC4-5D6E-409C-BE32-E72D297353CC}">
              <c16:uniqueId val="{00000000-EC56-44BC-A632-549CF74F964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0</xdr:colOff>
      <xdr:row>28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rackerTable" displayName="SalesTrackerTable" ref="A4:P45" totalsRowShown="0" headerRowDxfId="7" dataDxfId="6">
  <autoFilter ref="A4:P45" xr:uid="{00000000-000C-0000-FFFF-FFFF00000000}"/>
  <tableColumns count="16">
    <tableColumn id="1" xr3:uid="{00000000-0010-0000-0000-000001000000}" name="lead_id" dataDxfId="23"/>
    <tableColumn id="2" xr3:uid="{00000000-0010-0000-0000-000002000000}" name="事業者名" dataDxfId="22"/>
    <tableColumn id="3" xr3:uid="{00000000-0010-0000-0000-000003000000}" name="優先度" dataDxfId="21"/>
    <tableColumn id="4" xr3:uid="{00000000-0010-0000-0000-000004000000}" name="送信先確認" dataDxfId="20"/>
    <tableColumn id="5" xr3:uid="{00000000-0010-0000-0000-000005000000}" name="営業文状態" dataDxfId="19"/>
    <tableColumn id="6" xr3:uid="{00000000-0010-0000-0000-000006000000}" name="進捗ステータス" dataDxfId="18"/>
    <tableColumn id="7" xr3:uid="{00000000-0010-0000-0000-000007000000}" name="送信チャネル" dataDxfId="17"/>
    <tableColumn id="8" xr3:uid="{00000000-0010-0000-0000-000008000000}" name="送信先URL・宛先" dataDxfId="16"/>
    <tableColumn id="9" xr3:uid="{00000000-0010-0000-0000-000009000000}" name="初回送信日" dataDxfId="15"/>
    <tableColumn id="10" xr3:uid="{00000000-0010-0000-0000-00000A000000}" name="最終接触日" dataDxfId="14"/>
    <tableColumn id="11" xr3:uid="{00000000-0010-0000-0000-00000B000000}" name="フォロー予定日" dataDxfId="13"/>
    <tableColumn id="12" xr3:uid="{00000000-0010-0000-0000-00000C000000}" name="フォロー判定" dataDxfId="12"/>
    <tableColumn id="13" xr3:uid="{00000000-0010-0000-0000-00000D000000}" name="返信概要" dataDxfId="11"/>
    <tableColumn id="14" xr3:uid="{00000000-0010-0000-0000-00000E000000}" name="次アクション" dataDxfId="10"/>
    <tableColumn id="15" xr3:uid="{00000000-0010-0000-0000-00000F000000}" name="メモ" dataDxfId="9"/>
    <tableColumn id="16" xr3:uid="{00000000-0010-0000-0000-000010000000}" name="営業文" dataDxfId="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45"/>
  <sheetViews>
    <sheetView tabSelected="1" workbookViewId="0">
      <selection activeCell="E47" sqref="E47"/>
    </sheetView>
  </sheetViews>
  <sheetFormatPr defaultRowHeight="27" customHeight="1"/>
  <cols>
    <col min="1" max="1" width="28" style="10" customWidth="1"/>
    <col min="2" max="2" width="62.5" style="10" customWidth="1"/>
    <col min="3" max="3" width="10" style="10" customWidth="1"/>
    <col min="4" max="4" width="12" style="10" customWidth="1"/>
    <col min="5" max="5" width="18" style="10" customWidth="1"/>
    <col min="6" max="6" width="14" style="10" customWidth="1"/>
    <col min="7" max="7" width="18" style="10" customWidth="1"/>
    <col min="8" max="8" width="28" style="10" customWidth="1"/>
    <col min="9" max="11" width="13" style="10" customWidth="1"/>
    <col min="12" max="12" width="14" style="10" customWidth="1"/>
    <col min="13" max="13" width="28" style="10" customWidth="1"/>
    <col min="14" max="15" width="24" style="10" customWidth="1"/>
    <col min="16" max="16" width="55" style="10" customWidth="1"/>
    <col min="17" max="16384" width="8.6640625" style="10"/>
  </cols>
  <sheetData>
    <row r="2" spans="1:16" ht="27" customHeight="1">
      <c r="E2" s="10">
        <f>COUNTIF(F:F,"送信済み")</f>
        <v>25</v>
      </c>
    </row>
    <row r="4" spans="1:16" ht="27" customHeight="1">
      <c r="A4" s="9" t="s">
        <v>187</v>
      </c>
      <c r="B4" s="9" t="s">
        <v>1</v>
      </c>
      <c r="C4" s="9" t="s">
        <v>2</v>
      </c>
      <c r="D4" s="9" t="s">
        <v>3</v>
      </c>
      <c r="E4" s="9" t="s">
        <v>4</v>
      </c>
      <c r="F4" s="9" t="s">
        <v>5</v>
      </c>
      <c r="G4" s="9" t="s">
        <v>6</v>
      </c>
      <c r="H4" s="9" t="s">
        <v>7</v>
      </c>
      <c r="I4" s="9" t="s">
        <v>8</v>
      </c>
      <c r="J4" s="9" t="s">
        <v>9</v>
      </c>
      <c r="K4" s="9" t="s">
        <v>10</v>
      </c>
      <c r="L4" s="9" t="s">
        <v>11</v>
      </c>
      <c r="M4" s="9" t="s">
        <v>12</v>
      </c>
      <c r="N4" s="9" t="s">
        <v>13</v>
      </c>
      <c r="O4" s="9" t="s">
        <v>14</v>
      </c>
      <c r="P4" s="9" t="s">
        <v>15</v>
      </c>
    </row>
    <row r="5" spans="1:16" ht="27" customHeight="1">
      <c r="A5" s="11" t="s">
        <v>16</v>
      </c>
      <c r="B5" s="11" t="s">
        <v>17</v>
      </c>
      <c r="C5" s="11" t="s">
        <v>18</v>
      </c>
      <c r="D5" s="11" t="s">
        <v>19</v>
      </c>
      <c r="E5" s="11" t="s">
        <v>20</v>
      </c>
      <c r="F5" s="11" t="s">
        <v>152</v>
      </c>
      <c r="G5" s="11"/>
      <c r="H5" s="11"/>
      <c r="I5" s="12"/>
      <c r="J5" s="12"/>
      <c r="K5" s="12"/>
      <c r="L5" s="11" t="str">
        <f t="shared" ref="L5:L45" ca="1" si="0">IF(AND(F5="送信済み",K5&lt;&gt;"",K5&lt;=TODAY()),"要フォロー",IF(OR(F5="返信あり",F5="商談中",F5="見積提出"),"対応中",""))</f>
        <v/>
      </c>
      <c r="M5" s="11"/>
      <c r="N5" s="11"/>
      <c r="O5" s="11"/>
      <c r="P5" s="11" t="s">
        <v>22</v>
      </c>
    </row>
    <row r="6" spans="1:16" ht="27" customHeight="1">
      <c r="A6" s="11" t="s">
        <v>23</v>
      </c>
      <c r="B6" s="11" t="s">
        <v>24</v>
      </c>
      <c r="C6" s="11" t="s">
        <v>18</v>
      </c>
      <c r="D6" s="11" t="s">
        <v>19</v>
      </c>
      <c r="E6" s="11" t="s">
        <v>20</v>
      </c>
      <c r="F6" s="11" t="s">
        <v>152</v>
      </c>
      <c r="G6" s="11"/>
      <c r="H6" s="11"/>
      <c r="I6" s="12"/>
      <c r="J6" s="12"/>
      <c r="K6" s="12"/>
      <c r="L6" s="11" t="str">
        <f t="shared" ca="1" si="0"/>
        <v/>
      </c>
      <c r="M6" s="11"/>
      <c r="N6" s="11"/>
      <c r="O6" s="11"/>
      <c r="P6" s="11" t="s">
        <v>25</v>
      </c>
    </row>
    <row r="7" spans="1:16" ht="27" customHeight="1">
      <c r="A7" s="11" t="s">
        <v>26</v>
      </c>
      <c r="B7" s="11" t="s">
        <v>27</v>
      </c>
      <c r="C7" s="11" t="s">
        <v>18</v>
      </c>
      <c r="D7" s="11" t="s">
        <v>19</v>
      </c>
      <c r="E7" s="11" t="s">
        <v>20</v>
      </c>
      <c r="F7" s="11" t="s">
        <v>152</v>
      </c>
      <c r="G7" s="11"/>
      <c r="H7" s="11"/>
      <c r="I7" s="12"/>
      <c r="J7" s="12"/>
      <c r="K7" s="12"/>
      <c r="L7" s="11" t="str">
        <f t="shared" ca="1" si="0"/>
        <v/>
      </c>
      <c r="M7" s="11"/>
      <c r="N7" s="11"/>
      <c r="O7" s="11"/>
      <c r="P7" s="11" t="s">
        <v>28</v>
      </c>
    </row>
    <row r="8" spans="1:16" ht="27" customHeight="1">
      <c r="A8" s="11" t="s">
        <v>29</v>
      </c>
      <c r="B8" s="11" t="s">
        <v>30</v>
      </c>
      <c r="C8" s="11" t="s">
        <v>18</v>
      </c>
      <c r="D8" s="11" t="s">
        <v>19</v>
      </c>
      <c r="E8" s="11" t="s">
        <v>20</v>
      </c>
      <c r="F8" s="11" t="s">
        <v>152</v>
      </c>
      <c r="G8" s="11"/>
      <c r="H8" s="11"/>
      <c r="I8" s="12"/>
      <c r="J8" s="12"/>
      <c r="K8" s="12"/>
      <c r="L8" s="11" t="str">
        <f t="shared" ca="1" si="0"/>
        <v/>
      </c>
      <c r="M8" s="11"/>
      <c r="N8" s="11"/>
      <c r="O8" s="11"/>
      <c r="P8" s="11" t="s">
        <v>31</v>
      </c>
    </row>
    <row r="9" spans="1:16" ht="27" customHeight="1">
      <c r="A9" s="11" t="s">
        <v>32</v>
      </c>
      <c r="B9" s="11" t="s">
        <v>33</v>
      </c>
      <c r="C9" s="11" t="s">
        <v>18</v>
      </c>
      <c r="D9" s="11" t="s">
        <v>19</v>
      </c>
      <c r="E9" s="11" t="s">
        <v>20</v>
      </c>
      <c r="F9" s="11" t="s">
        <v>152</v>
      </c>
      <c r="G9" s="11"/>
      <c r="H9" s="11"/>
      <c r="I9" s="12"/>
      <c r="J9" s="12"/>
      <c r="K9" s="12"/>
      <c r="L9" s="11" t="str">
        <f t="shared" ca="1" si="0"/>
        <v/>
      </c>
      <c r="M9" s="11"/>
      <c r="N9" s="11"/>
      <c r="O9" s="11"/>
      <c r="P9" s="11" t="s">
        <v>34</v>
      </c>
    </row>
    <row r="10" spans="1:16" ht="27" customHeight="1">
      <c r="A10" s="11" t="s">
        <v>35</v>
      </c>
      <c r="B10" s="11" t="s">
        <v>36</v>
      </c>
      <c r="C10" s="11" t="s">
        <v>37</v>
      </c>
      <c r="D10" s="11" t="s">
        <v>19</v>
      </c>
      <c r="E10" s="11" t="s">
        <v>20</v>
      </c>
      <c r="F10" s="11" t="s">
        <v>152</v>
      </c>
      <c r="G10" s="11"/>
      <c r="H10" s="11"/>
      <c r="I10" s="12"/>
      <c r="J10" s="12"/>
      <c r="K10" s="12"/>
      <c r="L10" s="11" t="str">
        <f t="shared" ca="1" si="0"/>
        <v/>
      </c>
      <c r="M10" s="11"/>
      <c r="N10" s="11"/>
      <c r="O10" s="11"/>
      <c r="P10" s="11" t="s">
        <v>38</v>
      </c>
    </row>
    <row r="11" spans="1:16" ht="27" customHeight="1">
      <c r="A11" s="11" t="s">
        <v>39</v>
      </c>
      <c r="B11" s="11" t="s">
        <v>40</v>
      </c>
      <c r="C11" s="11" t="s">
        <v>37</v>
      </c>
      <c r="D11" s="11" t="s">
        <v>19</v>
      </c>
      <c r="E11" s="11" t="s">
        <v>20</v>
      </c>
      <c r="F11" s="11" t="s">
        <v>152</v>
      </c>
      <c r="G11" s="11"/>
      <c r="H11" s="11"/>
      <c r="I11" s="12"/>
      <c r="J11" s="12"/>
      <c r="K11" s="12"/>
      <c r="L11" s="11" t="str">
        <f t="shared" ca="1" si="0"/>
        <v/>
      </c>
      <c r="M11" s="11"/>
      <c r="N11" s="11"/>
      <c r="O11" s="11"/>
      <c r="P11" s="11" t="s">
        <v>41</v>
      </c>
    </row>
    <row r="12" spans="1:16" ht="27" customHeight="1">
      <c r="A12" s="11" t="s">
        <v>42</v>
      </c>
      <c r="B12" s="11" t="s">
        <v>43</v>
      </c>
      <c r="C12" s="11" t="s">
        <v>37</v>
      </c>
      <c r="D12" s="11" t="s">
        <v>19</v>
      </c>
      <c r="E12" s="11" t="s">
        <v>20</v>
      </c>
      <c r="F12" s="11" t="s">
        <v>152</v>
      </c>
      <c r="G12" s="11"/>
      <c r="H12" s="11"/>
      <c r="I12" s="12"/>
      <c r="J12" s="12"/>
      <c r="K12" s="12"/>
      <c r="L12" s="11" t="str">
        <f t="shared" ca="1" si="0"/>
        <v/>
      </c>
      <c r="M12" s="11"/>
      <c r="N12" s="11"/>
      <c r="O12" s="11"/>
      <c r="P12" s="11" t="s">
        <v>44</v>
      </c>
    </row>
    <row r="13" spans="1:16" ht="27" customHeight="1">
      <c r="A13" s="11" t="s">
        <v>45</v>
      </c>
      <c r="B13" s="11" t="s">
        <v>46</v>
      </c>
      <c r="C13" s="11" t="s">
        <v>37</v>
      </c>
      <c r="D13" s="11" t="s">
        <v>19</v>
      </c>
      <c r="E13" s="11" t="s">
        <v>20</v>
      </c>
      <c r="F13" s="11" t="s">
        <v>152</v>
      </c>
      <c r="G13" s="11"/>
      <c r="H13" s="11"/>
      <c r="I13" s="12"/>
      <c r="J13" s="12"/>
      <c r="K13" s="12"/>
      <c r="L13" s="11" t="str">
        <f t="shared" ca="1" si="0"/>
        <v/>
      </c>
      <c r="M13" s="11"/>
      <c r="N13" s="11"/>
      <c r="O13" s="11"/>
      <c r="P13" s="11" t="s">
        <v>47</v>
      </c>
    </row>
    <row r="14" spans="1:16" ht="27" customHeight="1">
      <c r="A14" s="11" t="s">
        <v>48</v>
      </c>
      <c r="B14" s="11" t="s">
        <v>49</v>
      </c>
      <c r="C14" s="11" t="s">
        <v>37</v>
      </c>
      <c r="D14" s="11" t="s">
        <v>19</v>
      </c>
      <c r="E14" s="11" t="s">
        <v>20</v>
      </c>
      <c r="F14" s="11" t="s">
        <v>152</v>
      </c>
      <c r="G14" s="11"/>
      <c r="H14" s="11"/>
      <c r="I14" s="12"/>
      <c r="J14" s="12"/>
      <c r="K14" s="12"/>
      <c r="L14" s="11" t="str">
        <f t="shared" ca="1" si="0"/>
        <v/>
      </c>
      <c r="M14" s="11"/>
      <c r="N14" s="11"/>
      <c r="O14" s="11"/>
      <c r="P14" s="11" t="s">
        <v>50</v>
      </c>
    </row>
    <row r="15" spans="1:16" ht="27" customHeight="1">
      <c r="A15" s="11" t="s">
        <v>51</v>
      </c>
      <c r="B15" s="11" t="s">
        <v>52</v>
      </c>
      <c r="C15" s="11" t="s">
        <v>37</v>
      </c>
      <c r="D15" s="11" t="s">
        <v>19</v>
      </c>
      <c r="E15" s="11" t="s">
        <v>20</v>
      </c>
      <c r="F15" s="11" t="s">
        <v>152</v>
      </c>
      <c r="G15" s="11"/>
      <c r="H15" s="11"/>
      <c r="I15" s="12"/>
      <c r="J15" s="12"/>
      <c r="K15" s="12"/>
      <c r="L15" s="11" t="str">
        <f t="shared" ca="1" si="0"/>
        <v/>
      </c>
      <c r="M15" s="11"/>
      <c r="N15" s="11"/>
      <c r="O15" s="11"/>
      <c r="P15" s="11" t="s">
        <v>53</v>
      </c>
    </row>
    <row r="16" spans="1:16" ht="27" customHeight="1">
      <c r="A16" s="11" t="s">
        <v>54</v>
      </c>
      <c r="B16" s="11" t="s">
        <v>55</v>
      </c>
      <c r="C16" s="11" t="s">
        <v>37</v>
      </c>
      <c r="D16" s="11" t="s">
        <v>19</v>
      </c>
      <c r="E16" s="11" t="s">
        <v>20</v>
      </c>
      <c r="F16" s="11" t="s">
        <v>152</v>
      </c>
      <c r="G16" s="11"/>
      <c r="H16" s="11"/>
      <c r="I16" s="12"/>
      <c r="J16" s="12"/>
      <c r="K16" s="12"/>
      <c r="L16" s="11" t="str">
        <f t="shared" ca="1" si="0"/>
        <v/>
      </c>
      <c r="M16" s="11"/>
      <c r="N16" s="11"/>
      <c r="O16" s="11"/>
      <c r="P16" s="11" t="s">
        <v>56</v>
      </c>
    </row>
    <row r="17" spans="1:16" ht="27" customHeight="1">
      <c r="A17" s="11" t="s">
        <v>57</v>
      </c>
      <c r="B17" s="11" t="s">
        <v>58</v>
      </c>
      <c r="C17" s="11" t="s">
        <v>37</v>
      </c>
      <c r="D17" s="11" t="s">
        <v>19</v>
      </c>
      <c r="E17" s="11" t="s">
        <v>20</v>
      </c>
      <c r="F17" s="11" t="s">
        <v>152</v>
      </c>
      <c r="G17" s="11"/>
      <c r="H17" s="11"/>
      <c r="I17" s="12"/>
      <c r="J17" s="12"/>
      <c r="K17" s="12"/>
      <c r="L17" s="11" t="str">
        <f t="shared" ca="1" si="0"/>
        <v/>
      </c>
      <c r="M17" s="11"/>
      <c r="N17" s="11"/>
      <c r="O17" s="11"/>
      <c r="P17" s="11" t="s">
        <v>59</v>
      </c>
    </row>
    <row r="18" spans="1:16" ht="27" customHeight="1">
      <c r="A18" s="11" t="s">
        <v>60</v>
      </c>
      <c r="B18" s="11" t="s">
        <v>61</v>
      </c>
      <c r="C18" s="11" t="s">
        <v>37</v>
      </c>
      <c r="D18" s="11" t="s">
        <v>19</v>
      </c>
      <c r="E18" s="11" t="s">
        <v>20</v>
      </c>
      <c r="F18" s="11" t="s">
        <v>152</v>
      </c>
      <c r="G18" s="11"/>
      <c r="H18" s="11"/>
      <c r="I18" s="12"/>
      <c r="J18" s="12"/>
      <c r="K18" s="12"/>
      <c r="L18" s="11" t="str">
        <f t="shared" ca="1" si="0"/>
        <v/>
      </c>
      <c r="M18" s="11"/>
      <c r="N18" s="11"/>
      <c r="O18" s="11"/>
      <c r="P18" s="11" t="s">
        <v>62</v>
      </c>
    </row>
    <row r="19" spans="1:16" ht="27" customHeight="1">
      <c r="A19" s="11" t="s">
        <v>63</v>
      </c>
      <c r="B19" s="11" t="s">
        <v>64</v>
      </c>
      <c r="C19" s="11" t="s">
        <v>37</v>
      </c>
      <c r="D19" s="11" t="s">
        <v>19</v>
      </c>
      <c r="E19" s="11" t="s">
        <v>20</v>
      </c>
      <c r="F19" s="11" t="s">
        <v>152</v>
      </c>
      <c r="G19" s="11"/>
      <c r="H19" s="11"/>
      <c r="I19" s="12"/>
      <c r="J19" s="12"/>
      <c r="K19" s="12"/>
      <c r="L19" s="11" t="str">
        <f t="shared" ca="1" si="0"/>
        <v/>
      </c>
      <c r="M19" s="11"/>
      <c r="N19" s="11"/>
      <c r="O19" s="11"/>
      <c r="P19" s="11" t="s">
        <v>65</v>
      </c>
    </row>
    <row r="20" spans="1:16" ht="27" customHeight="1">
      <c r="A20" s="11" t="s">
        <v>66</v>
      </c>
      <c r="B20" s="11" t="s">
        <v>67</v>
      </c>
      <c r="C20" s="11" t="s">
        <v>37</v>
      </c>
      <c r="D20" s="11" t="s">
        <v>68</v>
      </c>
      <c r="E20" s="11" t="s">
        <v>20</v>
      </c>
      <c r="F20" s="11" t="s">
        <v>159</v>
      </c>
      <c r="G20" s="11"/>
      <c r="H20" s="11"/>
      <c r="I20" s="12"/>
      <c r="J20" s="12"/>
      <c r="K20" s="12"/>
      <c r="L20" s="11" t="str">
        <f t="shared" ca="1" si="0"/>
        <v/>
      </c>
      <c r="M20" s="11"/>
      <c r="N20" s="11"/>
      <c r="O20" s="11"/>
      <c r="P20" s="11" t="s">
        <v>69</v>
      </c>
    </row>
    <row r="21" spans="1:16" ht="27" customHeight="1">
      <c r="A21" s="11" t="s">
        <v>70</v>
      </c>
      <c r="B21" s="11" t="s">
        <v>71</v>
      </c>
      <c r="C21" s="11" t="s">
        <v>37</v>
      </c>
      <c r="D21" s="11" t="s">
        <v>19</v>
      </c>
      <c r="E21" s="11" t="s">
        <v>20</v>
      </c>
      <c r="F21" s="11" t="s">
        <v>152</v>
      </c>
      <c r="G21" s="11"/>
      <c r="H21" s="11"/>
      <c r="I21" s="12"/>
      <c r="J21" s="12"/>
      <c r="K21" s="12"/>
      <c r="L21" s="11" t="str">
        <f t="shared" ca="1" si="0"/>
        <v/>
      </c>
      <c r="M21" s="11"/>
      <c r="N21" s="11"/>
      <c r="O21" s="11"/>
      <c r="P21" s="11" t="s">
        <v>72</v>
      </c>
    </row>
    <row r="22" spans="1:16" ht="27" customHeight="1">
      <c r="A22" s="11" t="s">
        <v>73</v>
      </c>
      <c r="B22" s="11" t="s">
        <v>74</v>
      </c>
      <c r="C22" s="11" t="s">
        <v>37</v>
      </c>
      <c r="D22" s="11" t="s">
        <v>68</v>
      </c>
      <c r="E22" s="11" t="s">
        <v>20</v>
      </c>
      <c r="F22" s="11" t="s">
        <v>152</v>
      </c>
      <c r="G22" s="11"/>
      <c r="H22" s="11"/>
      <c r="I22" s="12"/>
      <c r="J22" s="12"/>
      <c r="K22" s="12"/>
      <c r="L22" s="11" t="str">
        <f t="shared" ca="1" si="0"/>
        <v/>
      </c>
      <c r="M22" s="11"/>
      <c r="N22" s="11"/>
      <c r="O22" s="11"/>
      <c r="P22" s="11" t="s">
        <v>75</v>
      </c>
    </row>
    <row r="23" spans="1:16" ht="27" customHeight="1">
      <c r="A23" s="11" t="s">
        <v>76</v>
      </c>
      <c r="B23" s="11" t="s">
        <v>77</v>
      </c>
      <c r="C23" s="11" t="s">
        <v>37</v>
      </c>
      <c r="D23" s="11" t="s">
        <v>19</v>
      </c>
      <c r="E23" s="11" t="s">
        <v>78</v>
      </c>
      <c r="F23" s="11" t="s">
        <v>159</v>
      </c>
      <c r="G23" s="11"/>
      <c r="H23" s="11"/>
      <c r="I23" s="12"/>
      <c r="J23" s="12"/>
      <c r="K23" s="12"/>
      <c r="L23" s="11" t="str">
        <f t="shared" ca="1" si="0"/>
        <v/>
      </c>
      <c r="M23" s="11"/>
      <c r="N23" s="11"/>
      <c r="O23" s="11"/>
      <c r="P23" s="11" t="s">
        <v>79</v>
      </c>
    </row>
    <row r="24" spans="1:16" ht="27" customHeight="1">
      <c r="A24" s="11" t="s">
        <v>80</v>
      </c>
      <c r="B24" s="11" t="s">
        <v>81</v>
      </c>
      <c r="C24" s="11" t="s">
        <v>37</v>
      </c>
      <c r="D24" s="11" t="s">
        <v>68</v>
      </c>
      <c r="E24" s="11" t="s">
        <v>20</v>
      </c>
      <c r="F24" s="11" t="s">
        <v>159</v>
      </c>
      <c r="G24" s="11"/>
      <c r="H24" s="11"/>
      <c r="I24" s="12"/>
      <c r="J24" s="12"/>
      <c r="K24" s="12"/>
      <c r="L24" s="11" t="str">
        <f t="shared" ca="1" si="0"/>
        <v/>
      </c>
      <c r="M24" s="11"/>
      <c r="N24" s="11"/>
      <c r="O24" s="11"/>
      <c r="P24" s="11" t="s">
        <v>82</v>
      </c>
    </row>
    <row r="25" spans="1:16" ht="27" customHeight="1">
      <c r="A25" s="11" t="s">
        <v>83</v>
      </c>
      <c r="B25" s="11" t="s">
        <v>84</v>
      </c>
      <c r="C25" s="11" t="s">
        <v>37</v>
      </c>
      <c r="D25" s="11" t="s">
        <v>68</v>
      </c>
      <c r="E25" s="11" t="s">
        <v>20</v>
      </c>
      <c r="F25" s="11" t="s">
        <v>159</v>
      </c>
      <c r="G25" s="11"/>
      <c r="H25" s="11"/>
      <c r="I25" s="12"/>
      <c r="J25" s="12"/>
      <c r="K25" s="12"/>
      <c r="L25" s="11" t="str">
        <f t="shared" ca="1" si="0"/>
        <v/>
      </c>
      <c r="M25" s="11"/>
      <c r="N25" s="11"/>
      <c r="O25" s="11"/>
      <c r="P25" s="11" t="s">
        <v>85</v>
      </c>
    </row>
    <row r="26" spans="1:16" ht="27" customHeight="1">
      <c r="A26" s="11" t="s">
        <v>86</v>
      </c>
      <c r="B26" s="11" t="s">
        <v>87</v>
      </c>
      <c r="C26" s="11" t="s">
        <v>37</v>
      </c>
      <c r="D26" s="11" t="s">
        <v>68</v>
      </c>
      <c r="E26" s="11" t="s">
        <v>20</v>
      </c>
      <c r="F26" s="11" t="s">
        <v>152</v>
      </c>
      <c r="G26" s="11"/>
      <c r="H26" s="11"/>
      <c r="I26" s="12"/>
      <c r="J26" s="12"/>
      <c r="K26" s="12"/>
      <c r="L26" s="11" t="str">
        <f t="shared" ca="1" si="0"/>
        <v/>
      </c>
      <c r="M26" s="11"/>
      <c r="N26" s="11"/>
      <c r="O26" s="11"/>
      <c r="P26" s="11" t="s">
        <v>88</v>
      </c>
    </row>
    <row r="27" spans="1:16" ht="27" customHeight="1">
      <c r="A27" s="11" t="s">
        <v>89</v>
      </c>
      <c r="B27" s="11" t="s">
        <v>90</v>
      </c>
      <c r="C27" s="11" t="s">
        <v>37</v>
      </c>
      <c r="D27" s="11" t="s">
        <v>68</v>
      </c>
      <c r="E27" s="11" t="s">
        <v>20</v>
      </c>
      <c r="F27" s="11" t="s">
        <v>152</v>
      </c>
      <c r="G27" s="11"/>
      <c r="H27" s="11"/>
      <c r="I27" s="12"/>
      <c r="J27" s="12"/>
      <c r="K27" s="12"/>
      <c r="L27" s="11" t="str">
        <f t="shared" ca="1" si="0"/>
        <v/>
      </c>
      <c r="M27" s="11"/>
      <c r="N27" s="11"/>
      <c r="O27" s="11"/>
      <c r="P27" s="11" t="s">
        <v>91</v>
      </c>
    </row>
    <row r="28" spans="1:16" ht="27" customHeight="1">
      <c r="A28" s="11" t="s">
        <v>92</v>
      </c>
      <c r="B28" s="11" t="s">
        <v>93</v>
      </c>
      <c r="C28" s="11" t="s">
        <v>37</v>
      </c>
      <c r="D28" s="11" t="s">
        <v>68</v>
      </c>
      <c r="E28" s="11" t="s">
        <v>20</v>
      </c>
      <c r="F28" s="11" t="s">
        <v>159</v>
      </c>
      <c r="G28" s="11"/>
      <c r="H28" s="11"/>
      <c r="I28" s="12"/>
      <c r="J28" s="12"/>
      <c r="K28" s="12"/>
      <c r="L28" s="11" t="str">
        <f t="shared" ca="1" si="0"/>
        <v/>
      </c>
      <c r="M28" s="11"/>
      <c r="N28" s="11"/>
      <c r="O28" s="11"/>
      <c r="P28" s="11" t="s">
        <v>94</v>
      </c>
    </row>
    <row r="29" spans="1:16" ht="27" customHeight="1">
      <c r="A29" s="11" t="s">
        <v>95</v>
      </c>
      <c r="B29" s="11" t="s">
        <v>96</v>
      </c>
      <c r="C29" s="11" t="s">
        <v>37</v>
      </c>
      <c r="D29" s="11" t="s">
        <v>19</v>
      </c>
      <c r="E29" s="11" t="s">
        <v>20</v>
      </c>
      <c r="F29" s="11" t="s">
        <v>159</v>
      </c>
      <c r="G29" s="11"/>
      <c r="H29" s="11"/>
      <c r="I29" s="12"/>
      <c r="J29" s="12"/>
      <c r="K29" s="12"/>
      <c r="L29" s="11" t="str">
        <f t="shared" ca="1" si="0"/>
        <v/>
      </c>
      <c r="M29" s="11"/>
      <c r="N29" s="11"/>
      <c r="O29" s="11"/>
      <c r="P29" s="11" t="s">
        <v>97</v>
      </c>
    </row>
    <row r="30" spans="1:16" ht="27" customHeight="1">
      <c r="A30" s="11" t="s">
        <v>98</v>
      </c>
      <c r="B30" s="11" t="s">
        <v>99</v>
      </c>
      <c r="C30" s="11" t="s">
        <v>37</v>
      </c>
      <c r="D30" s="11" t="s">
        <v>19</v>
      </c>
      <c r="E30" s="11" t="s">
        <v>20</v>
      </c>
      <c r="F30" s="11" t="s">
        <v>152</v>
      </c>
      <c r="G30" s="11"/>
      <c r="H30" s="11"/>
      <c r="I30" s="12"/>
      <c r="J30" s="12"/>
      <c r="K30" s="12"/>
      <c r="L30" s="11" t="str">
        <f t="shared" ca="1" si="0"/>
        <v/>
      </c>
      <c r="M30" s="11"/>
      <c r="N30" s="11"/>
      <c r="O30" s="11"/>
      <c r="P30" s="11" t="s">
        <v>100</v>
      </c>
    </row>
    <row r="31" spans="1:16" ht="27" customHeight="1">
      <c r="A31" s="11" t="s">
        <v>101</v>
      </c>
      <c r="B31" s="11" t="s">
        <v>102</v>
      </c>
      <c r="C31" s="11" t="s">
        <v>103</v>
      </c>
      <c r="D31" s="11" t="s">
        <v>19</v>
      </c>
      <c r="E31" s="11" t="s">
        <v>20</v>
      </c>
      <c r="F31" s="11" t="s">
        <v>152</v>
      </c>
      <c r="G31" s="11"/>
      <c r="H31" s="11"/>
      <c r="I31" s="12"/>
      <c r="J31" s="12"/>
      <c r="K31" s="12"/>
      <c r="L31" s="11" t="str">
        <f t="shared" ca="1" si="0"/>
        <v/>
      </c>
      <c r="M31" s="11"/>
      <c r="N31" s="11"/>
      <c r="O31" s="11"/>
      <c r="P31" s="11" t="s">
        <v>104</v>
      </c>
    </row>
    <row r="32" spans="1:16" ht="27" customHeight="1">
      <c r="A32" s="11" t="s">
        <v>105</v>
      </c>
      <c r="B32" s="11" t="s">
        <v>106</v>
      </c>
      <c r="C32" s="11" t="s">
        <v>103</v>
      </c>
      <c r="D32" s="11" t="s">
        <v>19</v>
      </c>
      <c r="E32" s="11" t="s">
        <v>20</v>
      </c>
      <c r="F32" s="11" t="s">
        <v>159</v>
      </c>
      <c r="G32" s="11"/>
      <c r="H32" s="11"/>
      <c r="I32" s="12"/>
      <c r="J32" s="12"/>
      <c r="K32" s="12"/>
      <c r="L32" s="11" t="str">
        <f t="shared" ca="1" si="0"/>
        <v/>
      </c>
      <c r="M32" s="11"/>
      <c r="N32" s="11"/>
      <c r="O32" s="11"/>
      <c r="P32" s="11" t="s">
        <v>107</v>
      </c>
    </row>
    <row r="33" spans="1:16" ht="27" customHeight="1">
      <c r="A33" s="11" t="s">
        <v>108</v>
      </c>
      <c r="B33" s="11" t="s">
        <v>109</v>
      </c>
      <c r="C33" s="11" t="s">
        <v>103</v>
      </c>
      <c r="D33" s="11" t="s">
        <v>19</v>
      </c>
      <c r="E33" s="11" t="s">
        <v>20</v>
      </c>
      <c r="F33" s="11" t="s">
        <v>152</v>
      </c>
      <c r="G33" s="11"/>
      <c r="H33" s="11"/>
      <c r="I33" s="12"/>
      <c r="J33" s="12"/>
      <c r="K33" s="12"/>
      <c r="L33" s="11" t="str">
        <f t="shared" ca="1" si="0"/>
        <v/>
      </c>
      <c r="M33" s="11"/>
      <c r="N33" s="11"/>
      <c r="O33" s="11"/>
      <c r="P33" s="11" t="s">
        <v>110</v>
      </c>
    </row>
    <row r="34" spans="1:16" ht="27" customHeight="1">
      <c r="A34" s="11" t="s">
        <v>111</v>
      </c>
      <c r="B34" s="11" t="s">
        <v>112</v>
      </c>
      <c r="C34" s="11" t="s">
        <v>103</v>
      </c>
      <c r="D34" s="11" t="s">
        <v>19</v>
      </c>
      <c r="E34" s="11" t="s">
        <v>20</v>
      </c>
      <c r="F34" s="11" t="s">
        <v>152</v>
      </c>
      <c r="G34" s="11"/>
      <c r="H34" s="11"/>
      <c r="I34" s="12"/>
      <c r="J34" s="12"/>
      <c r="K34" s="12"/>
      <c r="L34" s="11" t="str">
        <f t="shared" ca="1" si="0"/>
        <v/>
      </c>
      <c r="M34" s="11"/>
      <c r="N34" s="11"/>
      <c r="O34" s="11"/>
      <c r="P34" s="11" t="s">
        <v>113</v>
      </c>
    </row>
    <row r="35" spans="1:16" ht="27" customHeight="1">
      <c r="A35" s="11" t="s">
        <v>114</v>
      </c>
      <c r="B35" s="11" t="s">
        <v>115</v>
      </c>
      <c r="C35" s="11" t="s">
        <v>103</v>
      </c>
      <c r="D35" s="11" t="s">
        <v>19</v>
      </c>
      <c r="E35" s="11" t="s">
        <v>20</v>
      </c>
      <c r="F35" s="11" t="s">
        <v>159</v>
      </c>
      <c r="G35" s="11"/>
      <c r="H35" s="11"/>
      <c r="I35" s="12"/>
      <c r="J35" s="12"/>
      <c r="K35" s="12"/>
      <c r="L35" s="11" t="str">
        <f t="shared" ca="1" si="0"/>
        <v/>
      </c>
      <c r="M35" s="11"/>
      <c r="N35" s="11"/>
      <c r="O35" s="11"/>
      <c r="P35" s="11" t="s">
        <v>116</v>
      </c>
    </row>
    <row r="36" spans="1:16" ht="27" customHeight="1">
      <c r="A36" s="11" t="s">
        <v>117</v>
      </c>
      <c r="B36" s="11" t="s">
        <v>118</v>
      </c>
      <c r="C36" s="11" t="s">
        <v>103</v>
      </c>
      <c r="D36" s="11" t="s">
        <v>19</v>
      </c>
      <c r="E36" s="11" t="s">
        <v>20</v>
      </c>
      <c r="F36" s="11" t="s">
        <v>152</v>
      </c>
      <c r="G36" s="11"/>
      <c r="H36" s="11"/>
      <c r="I36" s="12"/>
      <c r="J36" s="12"/>
      <c r="K36" s="12"/>
      <c r="L36" s="11" t="str">
        <f t="shared" ca="1" si="0"/>
        <v/>
      </c>
      <c r="M36" s="11"/>
      <c r="N36" s="11"/>
      <c r="O36" s="11"/>
      <c r="P36" s="11" t="s">
        <v>119</v>
      </c>
    </row>
    <row r="37" spans="1:16" ht="27" customHeight="1">
      <c r="A37" s="11" t="s">
        <v>120</v>
      </c>
      <c r="B37" s="11" t="s">
        <v>121</v>
      </c>
      <c r="C37" s="11" t="s">
        <v>103</v>
      </c>
      <c r="D37" s="11" t="s">
        <v>19</v>
      </c>
      <c r="E37" s="11" t="s">
        <v>20</v>
      </c>
      <c r="F37" s="11" t="s">
        <v>159</v>
      </c>
      <c r="G37" s="11"/>
      <c r="H37" s="11"/>
      <c r="I37" s="12"/>
      <c r="J37" s="12"/>
      <c r="K37" s="12"/>
      <c r="L37" s="11" t="str">
        <f t="shared" ca="1" si="0"/>
        <v/>
      </c>
      <c r="M37" s="11"/>
      <c r="N37" s="11"/>
      <c r="O37" s="11"/>
      <c r="P37" s="11" t="s">
        <v>122</v>
      </c>
    </row>
    <row r="38" spans="1:16" ht="27" customHeight="1">
      <c r="A38" s="11" t="s">
        <v>123</v>
      </c>
      <c r="B38" s="11" t="s">
        <v>124</v>
      </c>
      <c r="C38" s="11" t="s">
        <v>103</v>
      </c>
      <c r="D38" s="11" t="s">
        <v>68</v>
      </c>
      <c r="E38" s="11" t="s">
        <v>20</v>
      </c>
      <c r="F38" s="11" t="s">
        <v>159</v>
      </c>
      <c r="G38" s="11"/>
      <c r="H38" s="11"/>
      <c r="I38" s="12"/>
      <c r="J38" s="12"/>
      <c r="K38" s="12"/>
      <c r="L38" s="11" t="str">
        <f t="shared" ca="1" si="0"/>
        <v/>
      </c>
      <c r="M38" s="11"/>
      <c r="N38" s="11"/>
      <c r="O38" s="11"/>
      <c r="P38" s="11" t="s">
        <v>125</v>
      </c>
    </row>
    <row r="39" spans="1:16" ht="27" customHeight="1">
      <c r="A39" s="11" t="s">
        <v>126</v>
      </c>
      <c r="B39" s="11" t="s">
        <v>127</v>
      </c>
      <c r="C39" s="11" t="s">
        <v>103</v>
      </c>
      <c r="D39" s="11" t="s">
        <v>68</v>
      </c>
      <c r="E39" s="11" t="s">
        <v>20</v>
      </c>
      <c r="F39" s="11" t="s">
        <v>159</v>
      </c>
      <c r="G39" s="11"/>
      <c r="H39" s="11"/>
      <c r="I39" s="12"/>
      <c r="J39" s="12"/>
      <c r="K39" s="12"/>
      <c r="L39" s="11" t="str">
        <f t="shared" ca="1" si="0"/>
        <v/>
      </c>
      <c r="M39" s="11"/>
      <c r="N39" s="11"/>
      <c r="O39" s="11"/>
      <c r="P39" s="11" t="s">
        <v>128</v>
      </c>
    </row>
    <row r="40" spans="1:16" ht="27" customHeight="1">
      <c r="A40" s="11" t="s">
        <v>129</v>
      </c>
      <c r="B40" s="11" t="s">
        <v>130</v>
      </c>
      <c r="C40" s="11" t="s">
        <v>103</v>
      </c>
      <c r="D40" s="11" t="s">
        <v>68</v>
      </c>
      <c r="E40" s="11" t="s">
        <v>20</v>
      </c>
      <c r="F40" s="11" t="s">
        <v>159</v>
      </c>
      <c r="G40" s="11"/>
      <c r="H40" s="11"/>
      <c r="I40" s="12"/>
      <c r="J40" s="12"/>
      <c r="K40" s="12"/>
      <c r="L40" s="11" t="str">
        <f t="shared" ca="1" si="0"/>
        <v/>
      </c>
      <c r="M40" s="11"/>
      <c r="N40" s="11"/>
      <c r="O40" s="11"/>
      <c r="P40" s="11" t="s">
        <v>131</v>
      </c>
    </row>
    <row r="41" spans="1:16" ht="27" customHeight="1">
      <c r="A41" s="11" t="s">
        <v>132</v>
      </c>
      <c r="B41" s="11" t="s">
        <v>133</v>
      </c>
      <c r="C41" s="11" t="s">
        <v>103</v>
      </c>
      <c r="D41" s="11" t="s">
        <v>68</v>
      </c>
      <c r="E41" s="11" t="s">
        <v>20</v>
      </c>
      <c r="F41" s="11" t="s">
        <v>159</v>
      </c>
      <c r="G41" s="11"/>
      <c r="H41" s="11"/>
      <c r="I41" s="12"/>
      <c r="J41" s="12"/>
      <c r="K41" s="12"/>
      <c r="L41" s="11" t="str">
        <f t="shared" ca="1" si="0"/>
        <v/>
      </c>
      <c r="M41" s="11"/>
      <c r="N41" s="11"/>
      <c r="O41" s="11"/>
      <c r="P41" s="11" t="s">
        <v>134</v>
      </c>
    </row>
    <row r="42" spans="1:16" ht="27" customHeight="1">
      <c r="A42" s="11" t="s">
        <v>135</v>
      </c>
      <c r="B42" s="11" t="s">
        <v>136</v>
      </c>
      <c r="C42" s="11" t="s">
        <v>103</v>
      </c>
      <c r="D42" s="11" t="s">
        <v>68</v>
      </c>
      <c r="E42" s="11" t="s">
        <v>20</v>
      </c>
      <c r="F42" s="11" t="s">
        <v>152</v>
      </c>
      <c r="G42" s="11"/>
      <c r="H42" s="11"/>
      <c r="I42" s="12"/>
      <c r="J42" s="12"/>
      <c r="K42" s="12"/>
      <c r="L42" s="11" t="str">
        <f t="shared" ca="1" si="0"/>
        <v/>
      </c>
      <c r="M42" s="11"/>
      <c r="N42" s="11"/>
      <c r="O42" s="11"/>
      <c r="P42" s="11" t="s">
        <v>137</v>
      </c>
    </row>
    <row r="43" spans="1:16" ht="27" customHeight="1">
      <c r="A43" s="11" t="s">
        <v>138</v>
      </c>
      <c r="B43" s="11" t="s">
        <v>139</v>
      </c>
      <c r="C43" s="11" t="s">
        <v>103</v>
      </c>
      <c r="D43" s="11" t="s">
        <v>68</v>
      </c>
      <c r="E43" s="11" t="s">
        <v>20</v>
      </c>
      <c r="F43" s="11" t="s">
        <v>159</v>
      </c>
      <c r="G43" s="11"/>
      <c r="H43" s="11"/>
      <c r="I43" s="12"/>
      <c r="J43" s="12"/>
      <c r="K43" s="12"/>
      <c r="L43" s="11" t="str">
        <f t="shared" ca="1" si="0"/>
        <v/>
      </c>
      <c r="M43" s="11"/>
      <c r="N43" s="11"/>
      <c r="O43" s="11"/>
      <c r="P43" s="11" t="s">
        <v>140</v>
      </c>
    </row>
    <row r="44" spans="1:16" ht="27" customHeight="1">
      <c r="A44" s="11" t="s">
        <v>141</v>
      </c>
      <c r="B44" s="11" t="s">
        <v>142</v>
      </c>
      <c r="C44" s="11" t="s">
        <v>103</v>
      </c>
      <c r="D44" s="11" t="s">
        <v>68</v>
      </c>
      <c r="E44" s="11" t="s">
        <v>78</v>
      </c>
      <c r="F44" s="11" t="s">
        <v>159</v>
      </c>
      <c r="G44" s="11"/>
      <c r="H44" s="11"/>
      <c r="I44" s="12"/>
      <c r="J44" s="12"/>
      <c r="K44" s="12"/>
      <c r="L44" s="11" t="str">
        <f t="shared" ca="1" si="0"/>
        <v/>
      </c>
      <c r="M44" s="11"/>
      <c r="N44" s="11"/>
      <c r="O44" s="11"/>
      <c r="P44" s="11" t="s">
        <v>79</v>
      </c>
    </row>
    <row r="45" spans="1:16" ht="27" customHeight="1">
      <c r="A45" s="11" t="s">
        <v>143</v>
      </c>
      <c r="B45" s="11" t="s">
        <v>144</v>
      </c>
      <c r="C45" s="11" t="s">
        <v>103</v>
      </c>
      <c r="D45" s="11" t="s">
        <v>19</v>
      </c>
      <c r="E45" s="11" t="s">
        <v>20</v>
      </c>
      <c r="F45" s="11" t="s">
        <v>159</v>
      </c>
      <c r="G45" s="11"/>
      <c r="H45" s="11"/>
      <c r="I45" s="12"/>
      <c r="J45" s="12"/>
      <c r="K45" s="12"/>
      <c r="L45" s="11" t="str">
        <f t="shared" ca="1" si="0"/>
        <v/>
      </c>
      <c r="M45" s="11"/>
      <c r="N45" s="11"/>
      <c r="O45" s="11"/>
      <c r="P45" s="11" t="s">
        <v>145</v>
      </c>
    </row>
  </sheetData>
  <phoneticPr fontId="8"/>
  <conditionalFormatting sqref="C5:C45">
    <cfRule type="expression" dxfId="5" priority="1">
      <formula>C5="high"</formula>
    </cfRule>
    <cfRule type="expression" dxfId="4" priority="2">
      <formula>C5="medium"</formula>
    </cfRule>
  </conditionalFormatting>
  <conditionalFormatting sqref="F5:F45">
    <cfRule type="expression" dxfId="3" priority="3">
      <formula>F5="受注"</formula>
    </cfRule>
    <cfRule type="expression" dxfId="2" priority="4">
      <formula>F5="返信あり"</formula>
    </cfRule>
    <cfRule type="expression" dxfId="1" priority="5">
      <formula>F5="見送り"</formula>
    </cfRule>
  </conditionalFormatting>
  <conditionalFormatting sqref="L5:L45">
    <cfRule type="expression" dxfId="0" priority="6">
      <formula>L5="要フォロー"</formula>
    </cfRule>
  </conditionalFormatting>
  <dataValidations count="2">
    <dataValidation type="list" sqref="F5:F45" xr:uid="{00000000-0002-0000-0000-000000000000}">
      <formula1>"未送信,送信済み,返信あり,商談中,見積提出,受注,見送り,送信不可"</formula1>
    </dataValidation>
    <dataValidation type="list" sqref="G5:G45" xr:uid="{00000000-0002-0000-0000-000001000000}">
      <formula1>"Instagram DM,メール,問い合わせフォーム,公式LINE,その他"</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heetViews>
  <sheetFormatPr defaultRowHeight="14"/>
  <cols>
    <col min="1" max="2" width="18" customWidth="1"/>
    <col min="4" max="5" width="18" customWidth="1"/>
  </cols>
  <sheetData>
    <row r="1" spans="1:6" ht="21.4" customHeight="1">
      <c r="A1" s="7" t="s">
        <v>146</v>
      </c>
      <c r="B1" s="7"/>
      <c r="C1" s="7"/>
      <c r="D1" s="7"/>
      <c r="E1" s="7"/>
      <c r="F1" s="7"/>
    </row>
    <row r="3" spans="1:6">
      <c r="A3" s="2" t="s">
        <v>147</v>
      </c>
      <c r="B3" s="2" t="s">
        <v>148</v>
      </c>
      <c r="D3" s="2" t="s">
        <v>149</v>
      </c>
      <c r="E3" s="2" t="s">
        <v>148</v>
      </c>
    </row>
    <row r="4" spans="1:6">
      <c r="A4" t="s">
        <v>150</v>
      </c>
      <c r="B4">
        <f>COUNTA(営業管理!A5:A45)</f>
        <v>41</v>
      </c>
      <c r="D4" t="s">
        <v>21</v>
      </c>
      <c r="E4">
        <f>COUNTIF(営業管理!F5:F45,"未送信")</f>
        <v>0</v>
      </c>
    </row>
    <row r="5" spans="1:6">
      <c r="A5" t="s">
        <v>151</v>
      </c>
      <c r="B5">
        <f>COUNTIF(営業管理!C5:C45,"high")</f>
        <v>5</v>
      </c>
      <c r="D5" t="s">
        <v>152</v>
      </c>
      <c r="E5">
        <f>COUNTIF(営業管理!F5:F45,"送信済み")</f>
        <v>25</v>
      </c>
    </row>
    <row r="6" spans="1:6">
      <c r="A6" t="s">
        <v>21</v>
      </c>
      <c r="B6">
        <f>COUNTIF(営業管理!F5:F45,"未送信")</f>
        <v>0</v>
      </c>
      <c r="D6" t="s">
        <v>153</v>
      </c>
      <c r="E6">
        <f>COUNTIF(営業管理!F5:F45,"返信あり")</f>
        <v>0</v>
      </c>
    </row>
    <row r="7" spans="1:6">
      <c r="A7" t="s">
        <v>152</v>
      </c>
      <c r="B7">
        <f>COUNTIF(営業管理!F5:F45,"送信済み")</f>
        <v>25</v>
      </c>
      <c r="D7" t="s">
        <v>154</v>
      </c>
      <c r="E7">
        <f>COUNTIF(営業管理!F5:F45,"商談中")</f>
        <v>0</v>
      </c>
    </row>
    <row r="8" spans="1:6">
      <c r="A8" t="s">
        <v>153</v>
      </c>
      <c r="B8">
        <f>COUNTIF(営業管理!F5:F45,"返信あり")</f>
        <v>0</v>
      </c>
      <c r="D8" t="s">
        <v>155</v>
      </c>
      <c r="E8">
        <f>COUNTIF(営業管理!F5:F45,"見積提出")</f>
        <v>0</v>
      </c>
    </row>
    <row r="9" spans="1:6">
      <c r="A9" t="s">
        <v>156</v>
      </c>
      <c r="B9">
        <f ca="1">COUNTIF(営業管理!L5:L45,"要フォロー")</f>
        <v>0</v>
      </c>
      <c r="D9" t="s">
        <v>157</v>
      </c>
      <c r="E9">
        <f>COUNTIF(営業管理!F5:F45,"受注")</f>
        <v>0</v>
      </c>
    </row>
    <row r="10" spans="1:6">
      <c r="D10" t="s">
        <v>158</v>
      </c>
      <c r="E10">
        <f>COUNTIF(営業管理!F5:F45,"見送り")</f>
        <v>0</v>
      </c>
    </row>
    <row r="11" spans="1:6">
      <c r="D11" t="s">
        <v>159</v>
      </c>
      <c r="E11">
        <f>COUNTIF(営業管理!F5:F45,"送信不可")</f>
        <v>16</v>
      </c>
    </row>
  </sheetData>
  <mergeCells count="1">
    <mergeCell ref="A1:F1"/>
  </mergeCells>
  <phoneticPr fontId="8"/>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heetViews>
  <sheetFormatPr defaultRowHeight="14"/>
  <cols>
    <col min="1" max="1" width="10" customWidth="1"/>
    <col min="2" max="2" width="70" customWidth="1"/>
    <col min="4" max="4" width="20" customWidth="1"/>
    <col min="5" max="5" width="35" customWidth="1"/>
  </cols>
  <sheetData>
    <row r="1" spans="1:6" ht="19">
      <c r="A1" s="8" t="s">
        <v>160</v>
      </c>
      <c r="B1" s="8"/>
      <c r="C1" s="8"/>
      <c r="D1" s="8"/>
      <c r="E1" s="8"/>
      <c r="F1" s="8"/>
    </row>
    <row r="3" spans="1:6">
      <c r="A3" s="5" t="s">
        <v>161</v>
      </c>
      <c r="B3" s="5" t="s">
        <v>162</v>
      </c>
      <c r="D3" s="3" t="s">
        <v>5</v>
      </c>
      <c r="E3" s="3" t="s">
        <v>163</v>
      </c>
    </row>
    <row r="4" spans="1:6">
      <c r="A4" s="1" t="s">
        <v>164</v>
      </c>
      <c r="B4" s="1" t="s">
        <v>165</v>
      </c>
      <c r="D4" s="4" t="s">
        <v>21</v>
      </c>
      <c r="E4" s="4" t="s">
        <v>166</v>
      </c>
    </row>
    <row r="5" spans="1:6">
      <c r="A5" s="1" t="s">
        <v>167</v>
      </c>
      <c r="B5" s="1" t="s">
        <v>168</v>
      </c>
      <c r="D5" s="4" t="s">
        <v>152</v>
      </c>
      <c r="E5" s="4" t="s">
        <v>169</v>
      </c>
    </row>
    <row r="6" spans="1:6">
      <c r="A6" s="1" t="s">
        <v>170</v>
      </c>
      <c r="B6" s="1" t="s">
        <v>171</v>
      </c>
      <c r="D6" s="4" t="s">
        <v>153</v>
      </c>
      <c r="E6" s="4" t="s">
        <v>172</v>
      </c>
    </row>
    <row r="7" spans="1:6">
      <c r="A7" s="1" t="s">
        <v>173</v>
      </c>
      <c r="B7" s="1" t="s">
        <v>174</v>
      </c>
      <c r="D7" s="4" t="s">
        <v>175</v>
      </c>
      <c r="E7" s="4" t="s">
        <v>176</v>
      </c>
    </row>
    <row r="8" spans="1:6">
      <c r="A8" s="1" t="s">
        <v>177</v>
      </c>
      <c r="B8" s="1" t="s">
        <v>178</v>
      </c>
      <c r="D8" s="4" t="s">
        <v>179</v>
      </c>
      <c r="E8" s="4" t="s">
        <v>180</v>
      </c>
    </row>
    <row r="9" spans="1:6">
      <c r="A9" s="1" t="s">
        <v>181</v>
      </c>
      <c r="B9" s="1" t="s">
        <v>182</v>
      </c>
    </row>
    <row r="10" spans="1:6">
      <c r="A10" s="1" t="s">
        <v>183</v>
      </c>
      <c r="B10" s="1" t="s">
        <v>184</v>
      </c>
    </row>
  </sheetData>
  <mergeCells count="1">
    <mergeCell ref="A1:F1"/>
  </mergeCells>
  <phoneticPr fontI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sheetViews>
  <sheetFormatPr defaultRowHeight="14"/>
  <cols>
    <col min="1" max="1" width="28" customWidth="1"/>
    <col min="2" max="2" width="30" customWidth="1"/>
    <col min="3" max="5" width="16" customWidth="1"/>
    <col min="6" max="6" width="60" customWidth="1"/>
  </cols>
  <sheetData>
    <row r="1" spans="1:6">
      <c r="A1" s="6" t="s">
        <v>0</v>
      </c>
      <c r="B1" s="6" t="s">
        <v>1</v>
      </c>
      <c r="C1" s="6" t="s">
        <v>2</v>
      </c>
      <c r="D1" s="6" t="s">
        <v>185</v>
      </c>
      <c r="E1" s="6" t="s">
        <v>186</v>
      </c>
      <c r="F1" s="6" t="s">
        <v>15</v>
      </c>
    </row>
    <row r="2" spans="1:6" ht="182">
      <c r="A2" s="4" t="s">
        <v>16</v>
      </c>
      <c r="B2" s="4" t="s">
        <v>17</v>
      </c>
      <c r="C2" s="4" t="s">
        <v>18</v>
      </c>
      <c r="D2" s="4" t="s">
        <v>19</v>
      </c>
      <c r="E2" s="4" t="s">
        <v>20</v>
      </c>
      <c r="F2" s="4" t="s">
        <v>22</v>
      </c>
    </row>
    <row r="3" spans="1:6" ht="182">
      <c r="A3" s="4" t="s">
        <v>23</v>
      </c>
      <c r="B3" s="4" t="s">
        <v>24</v>
      </c>
      <c r="C3" s="4" t="s">
        <v>18</v>
      </c>
      <c r="D3" s="4" t="s">
        <v>19</v>
      </c>
      <c r="E3" s="4" t="s">
        <v>20</v>
      </c>
      <c r="F3" s="4" t="s">
        <v>25</v>
      </c>
    </row>
    <row r="4" spans="1:6" ht="196">
      <c r="A4" s="4" t="s">
        <v>26</v>
      </c>
      <c r="B4" s="4" t="s">
        <v>27</v>
      </c>
      <c r="C4" s="4" t="s">
        <v>18</v>
      </c>
      <c r="D4" s="4" t="s">
        <v>19</v>
      </c>
      <c r="E4" s="4" t="s">
        <v>20</v>
      </c>
      <c r="F4" s="4" t="s">
        <v>28</v>
      </c>
    </row>
    <row r="5" spans="1:6" ht="196">
      <c r="A5" s="4" t="s">
        <v>29</v>
      </c>
      <c r="B5" s="4" t="s">
        <v>30</v>
      </c>
      <c r="C5" s="4" t="s">
        <v>18</v>
      </c>
      <c r="D5" s="4" t="s">
        <v>19</v>
      </c>
      <c r="E5" s="4" t="s">
        <v>20</v>
      </c>
      <c r="F5" s="4" t="s">
        <v>31</v>
      </c>
    </row>
    <row r="6" spans="1:6" ht="196">
      <c r="A6" s="4" t="s">
        <v>32</v>
      </c>
      <c r="B6" s="4" t="s">
        <v>33</v>
      </c>
      <c r="C6" s="4" t="s">
        <v>18</v>
      </c>
      <c r="D6" s="4" t="s">
        <v>19</v>
      </c>
      <c r="E6" s="4" t="s">
        <v>20</v>
      </c>
      <c r="F6" s="4" t="s">
        <v>34</v>
      </c>
    </row>
    <row r="7" spans="1:6" ht="182">
      <c r="A7" s="4" t="s">
        <v>35</v>
      </c>
      <c r="B7" s="4" t="s">
        <v>36</v>
      </c>
      <c r="C7" s="4" t="s">
        <v>37</v>
      </c>
      <c r="D7" s="4" t="s">
        <v>19</v>
      </c>
      <c r="E7" s="4" t="s">
        <v>20</v>
      </c>
      <c r="F7" s="4" t="s">
        <v>38</v>
      </c>
    </row>
    <row r="8" spans="1:6" ht="182">
      <c r="A8" s="4" t="s">
        <v>39</v>
      </c>
      <c r="B8" s="4" t="s">
        <v>40</v>
      </c>
      <c r="C8" s="4" t="s">
        <v>37</v>
      </c>
      <c r="D8" s="4" t="s">
        <v>19</v>
      </c>
      <c r="E8" s="4" t="s">
        <v>20</v>
      </c>
      <c r="F8" s="4" t="s">
        <v>41</v>
      </c>
    </row>
    <row r="9" spans="1:6" ht="182">
      <c r="A9" s="4" t="s">
        <v>42</v>
      </c>
      <c r="B9" s="4" t="s">
        <v>43</v>
      </c>
      <c r="C9" s="4" t="s">
        <v>37</v>
      </c>
      <c r="D9" s="4" t="s">
        <v>19</v>
      </c>
      <c r="E9" s="4" t="s">
        <v>20</v>
      </c>
      <c r="F9" s="4" t="s">
        <v>44</v>
      </c>
    </row>
    <row r="10" spans="1:6" ht="196">
      <c r="A10" s="4" t="s">
        <v>45</v>
      </c>
      <c r="B10" s="4" t="s">
        <v>46</v>
      </c>
      <c r="C10" s="4" t="s">
        <v>37</v>
      </c>
      <c r="D10" s="4" t="s">
        <v>19</v>
      </c>
      <c r="E10" s="4" t="s">
        <v>20</v>
      </c>
      <c r="F10" s="4" t="s">
        <v>47</v>
      </c>
    </row>
    <row r="11" spans="1:6" ht="182">
      <c r="A11" s="4" t="s">
        <v>48</v>
      </c>
      <c r="B11" s="4" t="s">
        <v>49</v>
      </c>
      <c r="C11" s="4" t="s">
        <v>37</v>
      </c>
      <c r="D11" s="4" t="s">
        <v>19</v>
      </c>
      <c r="E11" s="4" t="s">
        <v>20</v>
      </c>
      <c r="F11" s="4" t="s">
        <v>50</v>
      </c>
    </row>
    <row r="12" spans="1:6" ht="182">
      <c r="A12" s="4" t="s">
        <v>51</v>
      </c>
      <c r="B12" s="4" t="s">
        <v>52</v>
      </c>
      <c r="C12" s="4" t="s">
        <v>37</v>
      </c>
      <c r="D12" s="4" t="s">
        <v>19</v>
      </c>
      <c r="E12" s="4" t="s">
        <v>20</v>
      </c>
      <c r="F12" s="4" t="s">
        <v>53</v>
      </c>
    </row>
    <row r="13" spans="1:6" ht="182">
      <c r="A13" s="4" t="s">
        <v>54</v>
      </c>
      <c r="B13" s="4" t="s">
        <v>55</v>
      </c>
      <c r="C13" s="4" t="s">
        <v>37</v>
      </c>
      <c r="D13" s="4" t="s">
        <v>19</v>
      </c>
      <c r="E13" s="4" t="s">
        <v>20</v>
      </c>
      <c r="F13" s="4" t="s">
        <v>56</v>
      </c>
    </row>
    <row r="14" spans="1:6" ht="196">
      <c r="A14" s="4" t="s">
        <v>57</v>
      </c>
      <c r="B14" s="4" t="s">
        <v>58</v>
      </c>
      <c r="C14" s="4" t="s">
        <v>37</v>
      </c>
      <c r="D14" s="4" t="s">
        <v>19</v>
      </c>
      <c r="E14" s="4" t="s">
        <v>20</v>
      </c>
      <c r="F14" s="4" t="s">
        <v>59</v>
      </c>
    </row>
    <row r="15" spans="1:6" ht="182">
      <c r="A15" s="4" t="s">
        <v>60</v>
      </c>
      <c r="B15" s="4" t="s">
        <v>61</v>
      </c>
      <c r="C15" s="4" t="s">
        <v>37</v>
      </c>
      <c r="D15" s="4" t="s">
        <v>19</v>
      </c>
      <c r="E15" s="4" t="s">
        <v>20</v>
      </c>
      <c r="F15" s="4" t="s">
        <v>62</v>
      </c>
    </row>
    <row r="16" spans="1:6" ht="182">
      <c r="A16" s="4" t="s">
        <v>63</v>
      </c>
      <c r="B16" s="4" t="s">
        <v>64</v>
      </c>
      <c r="C16" s="4" t="s">
        <v>37</v>
      </c>
      <c r="D16" s="4" t="s">
        <v>19</v>
      </c>
      <c r="E16" s="4" t="s">
        <v>20</v>
      </c>
      <c r="F16" s="4" t="s">
        <v>65</v>
      </c>
    </row>
    <row r="17" spans="1:6" ht="182">
      <c r="A17" s="4" t="s">
        <v>66</v>
      </c>
      <c r="B17" s="4" t="s">
        <v>67</v>
      </c>
      <c r="C17" s="4" t="s">
        <v>37</v>
      </c>
      <c r="D17" s="4" t="s">
        <v>68</v>
      </c>
      <c r="E17" s="4" t="s">
        <v>20</v>
      </c>
      <c r="F17" s="4" t="s">
        <v>69</v>
      </c>
    </row>
    <row r="18" spans="1:6" ht="196">
      <c r="A18" s="4" t="s">
        <v>70</v>
      </c>
      <c r="B18" s="4" t="s">
        <v>71</v>
      </c>
      <c r="C18" s="4" t="s">
        <v>37</v>
      </c>
      <c r="D18" s="4" t="s">
        <v>19</v>
      </c>
      <c r="E18" s="4" t="s">
        <v>20</v>
      </c>
      <c r="F18" s="4" t="s">
        <v>72</v>
      </c>
    </row>
    <row r="19" spans="1:6" ht="182">
      <c r="A19" s="4" t="s">
        <v>73</v>
      </c>
      <c r="B19" s="4" t="s">
        <v>74</v>
      </c>
      <c r="C19" s="4" t="s">
        <v>37</v>
      </c>
      <c r="D19" s="4" t="s">
        <v>68</v>
      </c>
      <c r="E19" s="4" t="s">
        <v>20</v>
      </c>
      <c r="F19" s="4" t="s">
        <v>75</v>
      </c>
    </row>
    <row r="20" spans="1:6" ht="28">
      <c r="A20" s="4" t="s">
        <v>76</v>
      </c>
      <c r="B20" s="4" t="s">
        <v>77</v>
      </c>
      <c r="C20" s="4" t="s">
        <v>37</v>
      </c>
      <c r="D20" s="4" t="s">
        <v>19</v>
      </c>
      <c r="E20" s="4" t="s">
        <v>78</v>
      </c>
      <c r="F20" s="4" t="s">
        <v>79</v>
      </c>
    </row>
    <row r="21" spans="1:6" ht="196">
      <c r="A21" s="4" t="s">
        <v>80</v>
      </c>
      <c r="B21" s="4" t="s">
        <v>81</v>
      </c>
      <c r="C21" s="4" t="s">
        <v>37</v>
      </c>
      <c r="D21" s="4" t="s">
        <v>68</v>
      </c>
      <c r="E21" s="4" t="s">
        <v>20</v>
      </c>
      <c r="F21" s="4" t="s">
        <v>82</v>
      </c>
    </row>
    <row r="22" spans="1:6" ht="182">
      <c r="A22" s="4" t="s">
        <v>83</v>
      </c>
      <c r="B22" s="4" t="s">
        <v>84</v>
      </c>
      <c r="C22" s="4" t="s">
        <v>37</v>
      </c>
      <c r="D22" s="4" t="s">
        <v>68</v>
      </c>
      <c r="E22" s="4" t="s">
        <v>20</v>
      </c>
      <c r="F22" s="4" t="s">
        <v>85</v>
      </c>
    </row>
    <row r="23" spans="1:6" ht="196">
      <c r="A23" s="4" t="s">
        <v>86</v>
      </c>
      <c r="B23" s="4" t="s">
        <v>87</v>
      </c>
      <c r="C23" s="4" t="s">
        <v>37</v>
      </c>
      <c r="D23" s="4" t="s">
        <v>68</v>
      </c>
      <c r="E23" s="4" t="s">
        <v>20</v>
      </c>
      <c r="F23" s="4" t="s">
        <v>88</v>
      </c>
    </row>
    <row r="24" spans="1:6" ht="182">
      <c r="A24" s="4" t="s">
        <v>89</v>
      </c>
      <c r="B24" s="4" t="s">
        <v>90</v>
      </c>
      <c r="C24" s="4" t="s">
        <v>37</v>
      </c>
      <c r="D24" s="4" t="s">
        <v>68</v>
      </c>
      <c r="E24" s="4" t="s">
        <v>20</v>
      </c>
      <c r="F24" s="4" t="s">
        <v>91</v>
      </c>
    </row>
    <row r="25" spans="1:6" ht="182">
      <c r="A25" s="4" t="s">
        <v>92</v>
      </c>
      <c r="B25" s="4" t="s">
        <v>93</v>
      </c>
      <c r="C25" s="4" t="s">
        <v>37</v>
      </c>
      <c r="D25" s="4" t="s">
        <v>68</v>
      </c>
      <c r="E25" s="4" t="s">
        <v>20</v>
      </c>
      <c r="F25" s="4" t="s">
        <v>94</v>
      </c>
    </row>
    <row r="26" spans="1:6" ht="182">
      <c r="A26" s="4" t="s">
        <v>95</v>
      </c>
      <c r="B26" s="4" t="s">
        <v>96</v>
      </c>
      <c r="C26" s="4" t="s">
        <v>37</v>
      </c>
      <c r="D26" s="4" t="s">
        <v>19</v>
      </c>
      <c r="E26" s="4" t="s">
        <v>20</v>
      </c>
      <c r="F26" s="4" t="s">
        <v>97</v>
      </c>
    </row>
    <row r="27" spans="1:6" ht="196">
      <c r="A27" s="4" t="s">
        <v>98</v>
      </c>
      <c r="B27" s="4" t="s">
        <v>99</v>
      </c>
      <c r="C27" s="4" t="s">
        <v>37</v>
      </c>
      <c r="D27" s="4" t="s">
        <v>19</v>
      </c>
      <c r="E27" s="4" t="s">
        <v>20</v>
      </c>
      <c r="F27" s="4" t="s">
        <v>100</v>
      </c>
    </row>
    <row r="28" spans="1:6" ht="182">
      <c r="A28" s="4" t="s">
        <v>101</v>
      </c>
      <c r="B28" s="4" t="s">
        <v>102</v>
      </c>
      <c r="C28" s="4" t="s">
        <v>103</v>
      </c>
      <c r="D28" s="4" t="s">
        <v>19</v>
      </c>
      <c r="E28" s="4" t="s">
        <v>20</v>
      </c>
      <c r="F28" s="4" t="s">
        <v>104</v>
      </c>
    </row>
    <row r="29" spans="1:6" ht="182">
      <c r="A29" s="4" t="s">
        <v>105</v>
      </c>
      <c r="B29" s="4" t="s">
        <v>106</v>
      </c>
      <c r="C29" s="4" t="s">
        <v>103</v>
      </c>
      <c r="D29" s="4" t="s">
        <v>19</v>
      </c>
      <c r="E29" s="4" t="s">
        <v>20</v>
      </c>
      <c r="F29" s="4" t="s">
        <v>107</v>
      </c>
    </row>
    <row r="30" spans="1:6" ht="196">
      <c r="A30" s="4" t="s">
        <v>108</v>
      </c>
      <c r="B30" s="4" t="s">
        <v>109</v>
      </c>
      <c r="C30" s="4" t="s">
        <v>103</v>
      </c>
      <c r="D30" s="4" t="s">
        <v>19</v>
      </c>
      <c r="E30" s="4" t="s">
        <v>20</v>
      </c>
      <c r="F30" s="4" t="s">
        <v>110</v>
      </c>
    </row>
    <row r="31" spans="1:6" ht="182">
      <c r="A31" s="4" t="s">
        <v>111</v>
      </c>
      <c r="B31" s="4" t="s">
        <v>112</v>
      </c>
      <c r="C31" s="4" t="s">
        <v>103</v>
      </c>
      <c r="D31" s="4" t="s">
        <v>19</v>
      </c>
      <c r="E31" s="4" t="s">
        <v>20</v>
      </c>
      <c r="F31" s="4" t="s">
        <v>113</v>
      </c>
    </row>
    <row r="32" spans="1:6" ht="182">
      <c r="A32" s="4" t="s">
        <v>114</v>
      </c>
      <c r="B32" s="4" t="s">
        <v>115</v>
      </c>
      <c r="C32" s="4" t="s">
        <v>103</v>
      </c>
      <c r="D32" s="4" t="s">
        <v>19</v>
      </c>
      <c r="E32" s="4" t="s">
        <v>20</v>
      </c>
      <c r="F32" s="4" t="s">
        <v>116</v>
      </c>
    </row>
    <row r="33" spans="1:6" ht="182">
      <c r="A33" s="4" t="s">
        <v>117</v>
      </c>
      <c r="B33" s="4" t="s">
        <v>118</v>
      </c>
      <c r="C33" s="4" t="s">
        <v>103</v>
      </c>
      <c r="D33" s="4" t="s">
        <v>19</v>
      </c>
      <c r="E33" s="4" t="s">
        <v>20</v>
      </c>
      <c r="F33" s="4" t="s">
        <v>119</v>
      </c>
    </row>
    <row r="34" spans="1:6" ht="182">
      <c r="A34" s="4" t="s">
        <v>120</v>
      </c>
      <c r="B34" s="4" t="s">
        <v>121</v>
      </c>
      <c r="C34" s="4" t="s">
        <v>103</v>
      </c>
      <c r="D34" s="4" t="s">
        <v>19</v>
      </c>
      <c r="E34" s="4" t="s">
        <v>20</v>
      </c>
      <c r="F34" s="4" t="s">
        <v>122</v>
      </c>
    </row>
    <row r="35" spans="1:6" ht="182">
      <c r="A35" s="4" t="s">
        <v>123</v>
      </c>
      <c r="B35" s="4" t="s">
        <v>124</v>
      </c>
      <c r="C35" s="4" t="s">
        <v>103</v>
      </c>
      <c r="D35" s="4" t="s">
        <v>68</v>
      </c>
      <c r="E35" s="4" t="s">
        <v>20</v>
      </c>
      <c r="F35" s="4" t="s">
        <v>125</v>
      </c>
    </row>
    <row r="36" spans="1:6" ht="182">
      <c r="A36" s="4" t="s">
        <v>126</v>
      </c>
      <c r="B36" s="4" t="s">
        <v>127</v>
      </c>
      <c r="C36" s="4" t="s">
        <v>103</v>
      </c>
      <c r="D36" s="4" t="s">
        <v>68</v>
      </c>
      <c r="E36" s="4" t="s">
        <v>20</v>
      </c>
      <c r="F36" s="4" t="s">
        <v>128</v>
      </c>
    </row>
    <row r="37" spans="1:6" ht="182">
      <c r="A37" s="4" t="s">
        <v>129</v>
      </c>
      <c r="B37" s="4" t="s">
        <v>130</v>
      </c>
      <c r="C37" s="4" t="s">
        <v>103</v>
      </c>
      <c r="D37" s="4" t="s">
        <v>68</v>
      </c>
      <c r="E37" s="4" t="s">
        <v>20</v>
      </c>
      <c r="F37" s="4" t="s">
        <v>131</v>
      </c>
    </row>
    <row r="38" spans="1:6" ht="182">
      <c r="A38" s="4" t="s">
        <v>132</v>
      </c>
      <c r="B38" s="4" t="s">
        <v>133</v>
      </c>
      <c r="C38" s="4" t="s">
        <v>103</v>
      </c>
      <c r="D38" s="4" t="s">
        <v>68</v>
      </c>
      <c r="E38" s="4" t="s">
        <v>20</v>
      </c>
      <c r="F38" s="4" t="s">
        <v>134</v>
      </c>
    </row>
    <row r="39" spans="1:6" ht="182">
      <c r="A39" s="4" t="s">
        <v>135</v>
      </c>
      <c r="B39" s="4" t="s">
        <v>136</v>
      </c>
      <c r="C39" s="4" t="s">
        <v>103</v>
      </c>
      <c r="D39" s="4" t="s">
        <v>68</v>
      </c>
      <c r="E39" s="4" t="s">
        <v>20</v>
      </c>
      <c r="F39" s="4" t="s">
        <v>137</v>
      </c>
    </row>
    <row r="40" spans="1:6" ht="196">
      <c r="A40" s="4" t="s">
        <v>138</v>
      </c>
      <c r="B40" s="4" t="s">
        <v>139</v>
      </c>
      <c r="C40" s="4" t="s">
        <v>103</v>
      </c>
      <c r="D40" s="4" t="s">
        <v>68</v>
      </c>
      <c r="E40" s="4" t="s">
        <v>20</v>
      </c>
      <c r="F40" s="4" t="s">
        <v>140</v>
      </c>
    </row>
    <row r="41" spans="1:6" ht="28">
      <c r="A41" s="4" t="s">
        <v>141</v>
      </c>
      <c r="B41" s="4" t="s">
        <v>142</v>
      </c>
      <c r="C41" s="4" t="s">
        <v>103</v>
      </c>
      <c r="D41" s="4" t="s">
        <v>68</v>
      </c>
      <c r="E41" s="4" t="s">
        <v>78</v>
      </c>
      <c r="F41" s="4" t="s">
        <v>79</v>
      </c>
    </row>
    <row r="42" spans="1:6" ht="196">
      <c r="A42" s="4" t="s">
        <v>143</v>
      </c>
      <c r="B42" s="4" t="s">
        <v>144</v>
      </c>
      <c r="C42" s="4" t="s">
        <v>103</v>
      </c>
      <c r="D42" s="4" t="s">
        <v>19</v>
      </c>
      <c r="E42" s="4" t="s">
        <v>20</v>
      </c>
      <c r="F42" s="4" t="s">
        <v>145</v>
      </c>
    </row>
  </sheetData>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営業管理</vt:lpstr>
      <vt:lpstr>ダッシュボード</vt:lpstr>
      <vt:lpstr>使い方</vt:lpstr>
      <vt:lpstr>元データ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Yuto Suzuki</cp:lastModifiedBy>
  <dcterms:modified xsi:type="dcterms:W3CDTF">2026-09-26T09:54:34Z</dcterms:modified>
</cp:coreProperties>
</file>